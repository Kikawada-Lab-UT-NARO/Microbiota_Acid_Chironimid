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queryTables/queryTable18.xml" ContentType="application/vnd.openxmlformats-officedocument.spreadsheetml.queryTable+xml"/>
  <Override PartName="/xl/queryTables/queryTable19.xml" ContentType="application/vnd.openxmlformats-officedocument.spreadsheetml.queryTable+xml"/>
  <Override PartName="/xl/queryTables/queryTable20.xml" ContentType="application/vnd.openxmlformats-officedocument.spreadsheetml.queryTable+xml"/>
  <Override PartName="/xl/queryTables/queryTable21.xml" ContentType="application/vnd.openxmlformats-officedocument.spreadsheetml.queryTable+xml"/>
  <Override PartName="/xl/queryTables/queryTable22.xml" ContentType="application/vnd.openxmlformats-officedocument.spreadsheetml.queryTable+xml"/>
  <Override PartName="/xl/queryTables/queryTable23.xml" ContentType="application/vnd.openxmlformats-officedocument.spreadsheetml.queryTable+xml"/>
  <Override PartName="/xl/queryTables/queryTable24.xml" ContentType="application/vnd.openxmlformats-officedocument.spreadsheetml.queryTable+xml"/>
  <Override PartName="/xl/queryTables/queryTable25.xml" ContentType="application/vnd.openxmlformats-officedocument.spreadsheetml.queryTable+xml"/>
  <Override PartName="/xl/queryTables/queryTable26.xml" ContentType="application/vnd.openxmlformats-officedocument.spreadsheetml.queryTable+xml"/>
  <Override PartName="/xl/queryTables/queryTable27.xml" ContentType="application/vnd.openxmlformats-officedocument.spreadsheetml.queryTable+xml"/>
  <Override PartName="/xl/queryTables/queryTable28.xml" ContentType="application/vnd.openxmlformats-officedocument.spreadsheetml.queryTable+xml"/>
  <Override PartName="/xl/queryTables/queryTable29.xml" ContentType="application/vnd.openxmlformats-officedocument.spreadsheetml.queryTable+xml"/>
  <Override PartName="/xl/queryTables/queryTable30.xml" ContentType="application/vnd.openxmlformats-officedocument.spreadsheetml.queryTable+xml"/>
  <Override PartName="/xl/queryTables/queryTable31.xml" ContentType="application/vnd.openxmlformats-officedocument.spreadsheetml.queryTable+xml"/>
  <Override PartName="/xl/queryTables/queryTable32.xml" ContentType="application/vnd.openxmlformats-officedocument.spreadsheetml.queryTable+xml"/>
  <Override PartName="/xl/queryTables/queryTable33.xml" ContentType="application/vnd.openxmlformats-officedocument.spreadsheetml.queryTable+xml"/>
  <Override PartName="/xl/queryTables/queryTable34.xml" ContentType="application/vnd.openxmlformats-officedocument.spreadsheetml.queryTable+xml"/>
  <Override PartName="/xl/queryTables/queryTable35.xml" ContentType="application/vnd.openxmlformats-officedocument.spreadsheetml.queryTable+xml"/>
  <Override PartName="/xl/queryTables/queryTable36.xml" ContentType="application/vnd.openxmlformats-officedocument.spreadsheetml.queryTable+xml"/>
  <Override PartName="/xl/queryTables/queryTable37.xml" ContentType="application/vnd.openxmlformats-officedocument.spreadsheetml.queryTable+xml"/>
  <Override PartName="/xl/queryTables/queryTable38.xml" ContentType="application/vnd.openxmlformats-officedocument.spreadsheetml.queryTable+xml"/>
  <Override PartName="/xl/queryTables/queryTable39.xml" ContentType="application/vnd.openxmlformats-officedocument.spreadsheetml.queryTable+xml"/>
  <Override PartName="/xl/queryTables/queryTable40.xml" ContentType="application/vnd.openxmlformats-officedocument.spreadsheetml.queryTable+xml"/>
  <Override PartName="/xl/queryTables/queryTable41.xml" ContentType="application/vnd.openxmlformats-officedocument.spreadsheetml.queryTable+xml"/>
  <Override PartName="/xl/queryTables/queryTable42.xml" ContentType="application/vnd.openxmlformats-officedocument.spreadsheetml.queryTable+xml"/>
  <Override PartName="/xl/queryTables/queryTable43.xml" ContentType="application/vnd.openxmlformats-officedocument.spreadsheetml.queryTable+xml"/>
  <Override PartName="/xl/queryTables/queryTable44.xml" ContentType="application/vnd.openxmlformats-officedocument.spreadsheetml.queryTable+xml"/>
  <Override PartName="/xl/queryTables/queryTable45.xml" ContentType="application/vnd.openxmlformats-officedocument.spreadsheetml.queryTable+xml"/>
  <Override PartName="/xl/queryTables/queryTable46.xml" ContentType="application/vnd.openxmlformats-officedocument.spreadsheetml.queryTable+xml"/>
  <Override PartName="/xl/queryTables/queryTable47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/>
  <mc:AlternateContent xmlns:mc="http://schemas.openxmlformats.org/markup-compatibility/2006">
    <mc:Choice Requires="x15">
      <x15ac:absPath xmlns:x15ac="http://schemas.microsoft.com/office/spreadsheetml/2010/11/ac" url="/Users/nakanishi/Dropbox/00_Manuscript_microbiome_p_kusatsuensis/Manuscript/Nakanishi_et_al,_Manuscript_of_Microbiome_for_P_kusatsuensis/Nakanishi_Polypedilum_sp_microbiome_Version_v1.1/11. Final submission_editer_comment/"/>
    </mc:Choice>
  </mc:AlternateContent>
  <xr:revisionPtr revIDLastSave="0" documentId="8_{AED7DF4E-CF41-E74D-8E33-D93CBAB06AA5}" xr6:coauthVersionLast="47" xr6:coauthVersionMax="47" xr10:uidLastSave="{00000000-0000-0000-0000-000000000000}"/>
  <bookViews>
    <workbookView xWindow="0" yWindow="740" windowWidth="29400" windowHeight="12320" xr2:uid="{C3E77416-EC47-7D43-92E9-7C04E508C17E}"/>
  </bookViews>
  <sheets>
    <sheet name="segments_minclussize_25" sheetId="2" r:id="rId1"/>
    <sheet name="segments_minclussize_100" sheetId="3" r:id="rId2"/>
    <sheet name="water_Family" sheetId="14" r:id="rId3"/>
    <sheet name="water_OTUs" sheetId="5" r:id="rId4"/>
    <sheet name="water_Phylum" sheetId="13" r:id="rId5"/>
    <sheet name="water_Class" sheetId="12" r:id="rId6"/>
    <sheet name="water_order" sheetId="4" r:id="rId7"/>
    <sheet name="whole_wild_and_rearing" sheetId="6" r:id="rId8"/>
    <sheet name="Whole_larva_Family" sheetId="15" r:id="rId9"/>
    <sheet name="whole_Class_pre" sheetId="7" r:id="rId10"/>
    <sheet name="Whole_larva_Class" sheetId="8" r:id="rId11"/>
    <sheet name="Whole_larva_Phylum" sheetId="11" r:id="rId12"/>
  </sheets>
  <definedNames>
    <definedName name="_xlnm._FilterDatabase" localSheetId="5" hidden="1">water_Class!$A$1:$B$27</definedName>
    <definedName name="_xlnm._FilterDatabase" localSheetId="2" hidden="1">water_Family!$A$1:$B$33</definedName>
    <definedName name="_xlnm._FilterDatabase" localSheetId="6" hidden="1">water_order!$A$1:$C$32</definedName>
    <definedName name="_xlnm._FilterDatabase" localSheetId="4" hidden="1">water_Phylum!$A$1:$B$22</definedName>
    <definedName name="_xlnm._FilterDatabase" localSheetId="9" hidden="1">whole_Class_pre!$A$1:$F$37</definedName>
    <definedName name="_xlnm._FilterDatabase" localSheetId="10" hidden="1">Whole_larva_Class!$A$1:$B$25</definedName>
    <definedName name="_xlnm._FilterDatabase" localSheetId="8" hidden="1">Whole_larva_Family!$A$1:$B$30</definedName>
    <definedName name="_xlnm._FilterDatabase" localSheetId="11" hidden="1">Whole_larva_Phylum!$A$1:$B$24</definedName>
    <definedName name="_xlnm._FilterDatabase" localSheetId="7" hidden="1">whole_wild_and_rearing!$A$1:$K$37</definedName>
    <definedName name="SQK_NBD114_96_barcode08_filterd.nanoclust_out_1" localSheetId="5">water_Class!$B$13:$B$17</definedName>
    <definedName name="SQK_NBD114_96_barcode08_filterd.nanoclust_out_1" localSheetId="2">water_Family!$B$19:$B$23</definedName>
    <definedName name="SQK_NBD114_96_barcode08_filterd.nanoclust_out_1" localSheetId="3">water_OTUs!$C$25:$N$31</definedName>
    <definedName name="SQK_NBD114_96_barcode08_filterd.nanoclust_out_1" localSheetId="4">water_Phylum!$B$11:$B$15</definedName>
    <definedName name="SQK_NBD114_96_barcode09_filterd.nanoclust_out_1" localSheetId="5">water_Class!$B$18:$B$23</definedName>
    <definedName name="SQK_NBD114_96_barcode09_filterd.nanoclust_out_1" localSheetId="2">water_Family!$B$24:$B$29</definedName>
    <definedName name="SQK_NBD114_96_barcode09_filterd.nanoclust_out_1" localSheetId="3">water_OTUs!$C$32:$N$38</definedName>
    <definedName name="SQK_NBD114_96_barcode09_filterd.nanoclust_out_1" localSheetId="4">water_Phylum!$B$16:$B$19</definedName>
    <definedName name="SQK_NBD114_96_barcode10_filterd.nanoclust_out_1" localSheetId="5">water_Class!$B$24:$B$27</definedName>
    <definedName name="SQK_NBD114_96_barcode10_filterd.nanoclust_out_1" localSheetId="2">water_Family!$B$30:$B$33</definedName>
    <definedName name="SQK_NBD114_96_barcode10_filterd.nanoclust_out_1" localSheetId="3">water_OTUs!$C$39:$N$43</definedName>
    <definedName name="SQK_NBD114_96_barcode10_filterd.nanoclust_out_1" localSheetId="4">water_Phylum!$B$20:$B$22</definedName>
    <definedName name="SQK_NBD114_96_barcode60_filterd.nanoclust_out_1" localSheetId="5">water_Class!$B$5:$B$9</definedName>
    <definedName name="SQK_NBD114_96_barcode60_filterd.nanoclust_out_1" localSheetId="2">water_Family!$B$7:$B$12</definedName>
    <definedName name="SQK_NBD114_96_barcode60_filterd.nanoclust_out_1" localSheetId="3">water_OTUs!$C$9:$N$15</definedName>
    <definedName name="SQK_NBD114_96_barcode60_filterd.nanoclust_out_1" localSheetId="4">water_Phylum!$B$4:$B$8</definedName>
    <definedName name="SQK_NBD114_96_barcode62_filterd.nanoclust_out_1" localSheetId="5">water_Class!$B$10:$B$13</definedName>
    <definedName name="SQK_NBD114_96_barcode62_filterd.nanoclust_out_1" localSheetId="2">water_Family!$B$13:$B$19</definedName>
    <definedName name="SQK_NBD114_96_barcode62_filterd.nanoclust_out_1" localSheetId="3">water_OTUs!$C$16:$N$26</definedName>
    <definedName name="SQK_NBD114_96_barcode62_filterd.nanoclust_out_1" localSheetId="4">water_Phylum!$B$9:$B$11</definedName>
    <definedName name="SQK_NBD114_96_barcode64_filterd.nanoclust_out_1" localSheetId="5">water_Class!$B$2:$B$4</definedName>
    <definedName name="SQK_NBD114_96_barcode64_filterd.nanoclust_out_1" localSheetId="2">water_Family!$B$2:$B$6</definedName>
    <definedName name="SQK_NBD114_96_barcode64_filterd.nanoclust_out_1" localSheetId="3">water_OTUs!$C$2:$N$8</definedName>
    <definedName name="SQK_NBD114_96_barcode64_filterd.nanoclust_out_1" localSheetId="4">water_Phylum!$B$2:$B$3</definedName>
    <definedName name="SQK_NBD114_96_barcode73_filterd.nanoclust_out" localSheetId="1">segments_minclussize_100!$C$2:$G$11</definedName>
    <definedName name="SQK_NBD114_96_barcode73_filterd.nanoclust_out_1" localSheetId="0">segments_minclussize_25!$C$1:$G$25</definedName>
    <definedName name="SQK_NBD114_96_barcode74_filterd.nanoclust_out_1" localSheetId="0">segments_minclussize_25!$C$26:$G$39</definedName>
    <definedName name="SQK_NBD114_96_barcode75_filterd.nanoclust_out" localSheetId="1">segments_minclussize_100!$C$17:$G$24</definedName>
    <definedName name="SQK_NBD114_96_barcode75_filterd.nanoclust_out_1" localSheetId="0">segments_minclussize_25!$C$40:$G$58</definedName>
    <definedName name="SQK_NBD114_96_barcode76_filterd.nanoclust_out" localSheetId="1">segments_minclussize_100!$C$25:$G$32</definedName>
    <definedName name="SQK_NBD114_96_barcode76_filterd.nanoclust_out_1" localSheetId="0">segments_minclussize_25!$C$59:$G$81</definedName>
    <definedName name="SQK_NBD114_96_barcode77_filterd.nanoclust_out" localSheetId="1">segments_minclussize_100!$C$33:$G$35</definedName>
    <definedName name="SQK_NBD114_96_barcode77_filterd.nanoclust_out" localSheetId="0">segments_minclussize_25!$C$82:$G$93</definedName>
    <definedName name="SQK_NBD114_96_barcode78_filterd.nanoclust_out" localSheetId="1">segments_minclussize_100!$C$36:$G$42</definedName>
    <definedName name="SQK_NBD114_96_barcode78_filterd.nanoclust_out" localSheetId="0">segments_minclussize_25!$C$94:$G$111</definedName>
    <definedName name="SQK_NBD114_96_barcode78_filterd.nanoclust_out_1" localSheetId="0">segments_minclussize_25!$C$60:$G$73</definedName>
    <definedName name="SQK_NBD114_96_barcode79_filterd.nanoclust_out" localSheetId="1">segments_minclussize_100!$C$43:$G$48</definedName>
    <definedName name="SQK_NBD114_96_barcode79_filterd.nanoclust_out" localSheetId="0">segments_minclussize_25!$C$112:$G$127</definedName>
    <definedName name="SQK_NBD114_96_barcode81_filterd.nanoclust_out" localSheetId="1">segments_minclussize_100!$C$58:$G$70</definedName>
    <definedName name="SQK_NBD114_96_barcode81_filterd.nanoclust_out" localSheetId="0">segments_minclussize_25!$C$146:$G$173</definedName>
    <definedName name="SQK_NBD114_96_barcode82_filterd.nanoclust_out" localSheetId="1">segments_minclussize_100!$C$71:$G$79</definedName>
    <definedName name="SQK_NBD114_96_barcode82_filterd.nanoclust_out" localSheetId="0">segments_minclussize_25!$C$174:$G$195</definedName>
    <definedName name="SQK_NBD114_96_barcode83_filterd.nanoclust_out" localSheetId="1">segments_minclussize_100!$C$80:$G$86</definedName>
    <definedName name="SQK_NBD114_96_barcode83_filterd.nanoclust_out" localSheetId="0">segments_minclussize_25!$C$196:$G$210</definedName>
    <definedName name="SQK_NBD114_96_barcode84_filterd.nanoclust_out" localSheetId="1">segments_minclussize_100!$C$87:$G$97</definedName>
    <definedName name="SQK_NBD114_96_barcode84_filterd.nanoclust_out" localSheetId="0">segments_minclussize_25!$C$211:$G$234</definedName>
    <definedName name="SQK_NBD114_96_barcode88_filterd.nanoclust_out" localSheetId="0">segments_minclussize_25!$C$128:$G$145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7" l="1"/>
  <c r="G36" i="7"/>
  <c r="G35" i="7"/>
  <c r="G34" i="7"/>
  <c r="G2" i="7"/>
  <c r="G7" i="7"/>
  <c r="G9" i="7"/>
  <c r="G10" i="7"/>
  <c r="G12" i="7"/>
  <c r="G13" i="7"/>
  <c r="G14" i="7"/>
  <c r="G15" i="7"/>
  <c r="G19" i="7"/>
  <c r="G20" i="7"/>
  <c r="G22" i="7"/>
  <c r="G23" i="7"/>
  <c r="G24" i="7"/>
  <c r="G26" i="7"/>
  <c r="G27" i="7"/>
  <c r="G28" i="7"/>
  <c r="G30" i="7"/>
  <c r="G31" i="7"/>
  <c r="G32" i="7"/>
  <c r="G33" i="7"/>
  <c r="C39" i="5" l="1"/>
  <c r="C33" i="5"/>
  <c r="C21" i="5"/>
  <c r="C12" i="4"/>
  <c r="C15" i="4"/>
  <c r="C3" i="4"/>
  <c r="C31" i="4"/>
  <c r="C25" i="4"/>
  <c r="C20" i="4"/>
  <c r="C14" i="4"/>
  <c r="C95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8F4FBC-B72E-AA4C-9A1D-C4432620688C}" name="SQK-NBD114-96_barcode08_filterd.nanoclust_out1" type="6" refreshedVersion="8" background="1" saveData="1">
    <textPr codePage="10001" sourceFile="/Users/nakanishi/Dropbox/00_16S_rRNA/Nanopore_sequencing/NB0009/20240706_1318_MN36499_ASV586_305da7fe/NanoCLUST/barcode08_100_3000/SQK-NBD114-96_barcode08_filterd/SQK-NBD114-96_barcode08_filterd.nanoclust_out.txt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2" xr16:uid="{5B0F256E-3A2A-2742-959A-AEF3D20C3537}" name="SQK-NBD114-96_barcode08_filterd.nanoclust_out11" type="6" refreshedVersion="8" background="1" saveData="1">
    <textPr codePage="10001" sourceFile="/Users/nakanishi/Dropbox/00_16S_rRNA/Nanopore_sequencing/NB0009/20240706_1318_MN36499_ASV586_305da7fe/NanoCLUST/barcode08_100_3000/SQK-NBD114-96_barcode08_filterd/SQK-NBD114-96_barcode08_filterd.nanoclust_out.txt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3" xr16:uid="{A7AB7544-4153-5844-9495-E998DB8D4996}" name="SQK-NBD114-96_barcode08_filterd.nanoclust_out111" type="6" refreshedVersion="8" background="1" saveData="1">
    <textPr codePage="10001" sourceFile="/Users/nakanishi/Dropbox/00_16S_rRNA/Nanopore_sequencing/NB0009/20240706_1318_MN36499_ASV586_305da7fe/NanoCLUST/barcode08_100_3000/SQK-NBD114-96_barcode08_filterd/SQK-NBD114-96_barcode08_filterd.nanoclust_out.txt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4" xr16:uid="{18F20E0B-1150-F349-8A91-CAA561B80F24}" name="SQK-NBD114-96_barcode08_filterd.nanoclust_out12" type="6" refreshedVersion="8" background="1" saveData="1">
    <textPr codePage="10001" sourceFile="/Users/nakanishi/Dropbox/00_16S_rRNA/Nanopore_sequencing/NB0009/20240706_1318_MN36499_ASV586_305da7fe/NanoCLUST/barcode08_100_3000/SQK-NBD114-96_barcode08_filterd/SQK-NBD114-96_barcode08_filterd.nanoclust_out.txt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5" xr16:uid="{F7599A26-80DD-4348-9B2F-2CD03C9A429B}" name="SQK-NBD114-96_barcode09_filterd.nanoclust_out1" type="6" refreshedVersion="8" background="1" saveData="1">
    <textPr codePage="10001" sourceFile="/Users/nakanishi/Dropbox/00_16S_rRNA/Nanopore_sequencing/NB0009/20240706_1318_MN36499_ASV586_305da7fe/NanoCLUST/barcode09_100_3000/SQK-NBD114-96_barcode09_filterd/SQK-NBD114-96_barcode09_filterd.nanoclust_out.txt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6" xr16:uid="{7E031F8F-95E8-6448-BB50-863621F324B9}" name="SQK-NBD114-96_barcode09_filterd.nanoclust_out11" type="6" refreshedVersion="8" background="1" saveData="1">
    <textPr codePage="10001" sourceFile="/Users/nakanishi/Dropbox/00_16S_rRNA/Nanopore_sequencing/NB0009/20240706_1318_MN36499_ASV586_305da7fe/NanoCLUST/barcode09_100_3000/SQK-NBD114-96_barcode09_filterd/SQK-NBD114-96_barcode09_filterd.nanoclust_out.txt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7" xr16:uid="{012449AF-DF14-D545-A7C3-3C9FF865EBF3}" name="SQK-NBD114-96_barcode09_filterd.nanoclust_out111" type="6" refreshedVersion="8" background="1" saveData="1">
    <textPr codePage="10001" sourceFile="/Users/nakanishi/Dropbox/00_16S_rRNA/Nanopore_sequencing/NB0009/20240706_1318_MN36499_ASV586_305da7fe/NanoCLUST/barcode09_100_3000/SQK-NBD114-96_barcode09_filterd/SQK-NBD114-96_barcode09_filterd.nanoclust_out.txt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8" xr16:uid="{119DBF92-060E-E340-9725-04D63F5F90F8}" name="SQK-NBD114-96_barcode09_filterd.nanoclust_out12" type="6" refreshedVersion="8" background="1" saveData="1">
    <textPr codePage="10001" sourceFile="/Users/nakanishi/Dropbox/00_16S_rRNA/Nanopore_sequencing/NB0009/20240706_1318_MN36499_ASV586_305da7fe/NanoCLUST/barcode09_100_3000/SQK-NBD114-96_barcode09_filterd/SQK-NBD114-96_barcode09_filterd.nanoclust_out.txt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9" xr16:uid="{B2B1A4E2-1F79-164E-8BB6-18F383FDC133}" name="SQK-NBD114-96_barcode10_filterd.nanoclust_out1" type="6" refreshedVersion="8" background="1" saveData="1">
    <textPr codePage="10001" sourceFile="/Users/nakanishi/Dropbox/00_16S_rRNA/Nanopore_sequencing/NB0009/20240706_1318_MN36499_ASV586_305da7fe/NanoCLUST/barcode10_100_3000/SQK-NBD114-96_barcode10_filterd/SQK-NBD114-96_barcode10_filterd.nanoclust_out.txt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0" xr16:uid="{CEF81453-D69D-B341-8EF4-6BB296FC1521}" name="SQK-NBD114-96_barcode10_filterd.nanoclust_out11" type="6" refreshedVersion="8" background="1" saveData="1">
    <textPr codePage="10001" sourceFile="/Users/nakanishi/Dropbox/00_16S_rRNA/Nanopore_sequencing/NB0009/20240706_1318_MN36499_ASV586_305da7fe/NanoCLUST/barcode10_100_3000/SQK-NBD114-96_barcode10_filterd/SQK-NBD114-96_barcode10_filterd.nanoclust_out.txt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1" xr16:uid="{04962EA2-FB7D-9E4B-A85A-5328F8BC25E3}" name="SQK-NBD114-96_barcode10_filterd.nanoclust_out111" type="6" refreshedVersion="8" background="1" saveData="1">
    <textPr codePage="10001" sourceFile="/Users/nakanishi/Dropbox/00_16S_rRNA/Nanopore_sequencing/NB0009/20240706_1318_MN36499_ASV586_305da7fe/NanoCLUST/barcode10_100_3000/SQK-NBD114-96_barcode10_filterd/SQK-NBD114-96_barcode10_filterd.nanoclust_out.txt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2" xr16:uid="{4E562742-B939-2E40-A0E7-B959EDC95CF5}" name="SQK-NBD114-96_barcode10_filterd.nanoclust_out12" type="6" refreshedVersion="8" background="1" saveData="1">
    <textPr codePage="10001" sourceFile="/Users/nakanishi/Dropbox/00_16S_rRNA/Nanopore_sequencing/NB0009/20240706_1318_MN36499_ASV586_305da7fe/NanoCLUST/barcode10_100_3000/SQK-NBD114-96_barcode10_filterd/SQK-NBD114-96_barcode10_filterd.nanoclust_out.txt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3" xr16:uid="{9828E6C8-D153-F14F-ADF1-2A18B2C25332}" name="SQK-NBD114-96_barcode60_filterd.nanoclust_out1" type="6" refreshedVersion="8" background="1" saveData="1">
    <textPr codePage="10001" sourceFile="/Users/nakanishi/Dropbox/00_16S_rRNA/Nanopore_sequencing/NB0017/20241114_1859_MN36499_AWO449_f16c4ddd/NanoCLUST/barcode60_u3000_c100/SQK-NBD114-96_barcode60_filterd/SQK-NBD114-96_barcode60_filterd.nanoclust_out.txt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4" xr16:uid="{B8357D36-94C9-804F-9D6D-A5BE4C868B3D}" name="SQK-NBD114-96_barcode60_filterd.nanoclust_out11" type="6" refreshedVersion="8" background="1" saveData="1">
    <textPr codePage="10001" sourceFile="/Users/nakanishi/Dropbox/00_16S_rRNA/Nanopore_sequencing/NB0017/20241114_1859_MN36499_AWO449_f16c4ddd/NanoCLUST/barcode60_u3000_c100/SQK-NBD114-96_barcode60_filterd/SQK-NBD114-96_barcode60_filterd.nanoclust_out.txt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5" xr16:uid="{4215C604-6290-3149-BAC4-9F166CC6CDCF}" name="SQK-NBD114-96_barcode60_filterd.nanoclust_out111" type="6" refreshedVersion="8" background="1" saveData="1">
    <textPr codePage="10001" sourceFile="/Users/nakanishi/Dropbox/00_16S_rRNA/Nanopore_sequencing/NB0017/20241114_1859_MN36499_AWO449_f16c4ddd/NanoCLUST/barcode60_u3000_c100/SQK-NBD114-96_barcode60_filterd/SQK-NBD114-96_barcode60_filterd.nanoclust_out.txt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6" xr16:uid="{CFCDDCC4-7586-9B42-AD67-D67BDFCB836A}" name="SQK-NBD114-96_barcode60_filterd.nanoclust_out12" type="6" refreshedVersion="8" background="1" saveData="1">
    <textPr codePage="10001" sourceFile="/Users/nakanishi/Dropbox/00_16S_rRNA/Nanopore_sequencing/NB0017/20241114_1859_MN36499_AWO449_f16c4ddd/NanoCLUST/barcode60_u3000_c100/SQK-NBD114-96_barcode60_filterd/SQK-NBD114-96_barcode60_filterd.nanoclust_out.txt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7" xr16:uid="{EC206367-F16B-7E4A-95F4-6B163CD58E1A}" name="SQK-NBD114-96_barcode62_filterd.nanoclust_out1" type="6" refreshedVersion="8" background="1" saveData="1">
    <textPr codePage="10001" sourceFile="/Users/nakanishi/Dropbox/00_16S_rRNA/Nanopore_sequencing/NB0017/20241114_1859_MN36499_AWO449_f16c4ddd/NanoCLUST/barcode62_u3000_c100/SQK-NBD114-96_barcode62_filterd/SQK-NBD114-96_barcode62_filterd.nanoclust_out.txt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8" xr16:uid="{70A3C2D8-EBF2-2846-BCA3-1CCAFB27B52F}" name="SQK-NBD114-96_barcode62_filterd.nanoclust_out11" type="6" refreshedVersion="8" background="1" saveData="1">
    <textPr codePage="10001" sourceFile="/Users/nakanishi/Dropbox/00_16S_rRNA/Nanopore_sequencing/NB0017/20241114_1859_MN36499_AWO449_f16c4ddd/NanoCLUST/barcode62_u3000_c100/SQK-NBD114-96_barcode62_filterd/SQK-NBD114-96_barcode62_filterd.nanoclust_out.txt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9" xr16:uid="{6DF8D645-A617-E841-B0A7-3BE993107532}" name="SQK-NBD114-96_barcode62_filterd.nanoclust_out111" type="6" refreshedVersion="8" background="1" saveData="1">
    <textPr codePage="10001" sourceFile="/Users/nakanishi/Dropbox/00_16S_rRNA/Nanopore_sequencing/NB0017/20241114_1859_MN36499_AWO449_f16c4ddd/NanoCLUST/barcode62_u3000_c100/SQK-NBD114-96_barcode62_filterd/SQK-NBD114-96_barcode62_filterd.nanoclust_out.txt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20" xr16:uid="{4E0F09D2-4710-A54B-BD20-DB7333253C8E}" name="SQK-NBD114-96_barcode62_filterd.nanoclust_out12" type="6" refreshedVersion="8" background="1" saveData="1">
    <textPr codePage="10001" sourceFile="/Users/nakanishi/Dropbox/00_16S_rRNA/Nanopore_sequencing/NB0017/20241114_1859_MN36499_AWO449_f16c4ddd/NanoCLUST/barcode62_u3000_c100/SQK-NBD114-96_barcode62_filterd/SQK-NBD114-96_barcode62_filterd.nanoclust_out.txt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21" xr16:uid="{A43565D1-C80C-C447-81BE-C1A8BC07A979}" name="SQK-NBD114-96_barcode64_filterd.nanoclust_out1" type="6" refreshedVersion="8" background="1" saveData="1">
    <textPr codePage="10001" sourceFile="/Users/nakanishi/Dropbox/00_16S_rRNA/Nanopore_sequencing/NB0017/20241114_1859_MN36499_AWO449_f16c4ddd/NanoCLUST/barcode64_u3000_c100/SQK-NBD114-96_barcode64_filterd/SQK-NBD114-96_barcode64_filterd.nanoclust_out.txt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22" xr16:uid="{454ADB7C-EDFE-E94B-A2C2-E4BECBEEA2F8}" name="SQK-NBD114-96_barcode64_filterd.nanoclust_out11" type="6" refreshedVersion="8" background="1" saveData="1">
    <textPr codePage="10001" sourceFile="/Users/nakanishi/Dropbox/00_16S_rRNA/Nanopore_sequencing/NB0017/20241114_1859_MN36499_AWO449_f16c4ddd/NanoCLUST/barcode64_u3000_c100/SQK-NBD114-96_barcode64_filterd/SQK-NBD114-96_barcode64_filterd.nanoclust_out.txt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23" xr16:uid="{1E6CB91A-EF33-A043-A706-FC8550152319}" name="SQK-NBD114-96_barcode64_filterd.nanoclust_out111" type="6" refreshedVersion="8" background="1" saveData="1">
    <textPr codePage="10001" sourceFile="/Users/nakanishi/Dropbox/00_16S_rRNA/Nanopore_sequencing/NB0017/20241114_1859_MN36499_AWO449_f16c4ddd/NanoCLUST/barcode64_u3000_c100/SQK-NBD114-96_barcode64_filterd/SQK-NBD114-96_barcode64_filterd.nanoclust_out.txt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24" xr16:uid="{06683DBD-4BC4-564F-AC33-1F68AC7DE5BA}" name="SQK-NBD114-96_barcode64_filterd.nanoclust_out12" type="6" refreshedVersion="8" background="1" saveData="1">
    <textPr codePage="10001" sourceFile="/Users/nakanishi/Dropbox/00_16S_rRNA/Nanopore_sequencing/NB0017/20241114_1859_MN36499_AWO449_f16c4ddd/NanoCLUST/barcode64_u3000_c100/SQK-NBD114-96_barcode64_filterd/SQK-NBD114-96_barcode64_filterd.nanoclust_out.txt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25" xr16:uid="{ACBDF127-DB50-0D4F-8A00-C4CAB67E3A0B}" name="SQK-NBD114-96_barcode73_filterd.nanoclust_out1" type="6" refreshedVersion="8" background="1" saveData="1">
    <textPr codePage="10001" sourceFile="/Users/nakanishi/Dropbox/00_16S_rRNA/Nanopore_sequencing/NB0012/20241003_0249_MN36499_AVJ469_c244a97d/NanoCLUST/barcode73_3000_25/SQK-NBD114-96_barcode73_filterd/SQK-NBD114-96_barcode73_filterd.nanoclust_out.txt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26" xr16:uid="{77248C6B-ECDA-634E-B3EE-D0067978E9C0}" name="SQK-NBD114-96_barcode73_filterd.nanoclust_out2" type="6" refreshedVersion="8" background="1" saveData="1">
    <textPr codePage="10001" sourceFile="/Users/nakanishi/Dropbox/00_16S_rRNA/Nanopore_sequencing/NB0012/20241003_0249_MN36499_AVJ469_c244a97d/NanoCLUST/barcode73/SQK-NBD114-96_barcode73_filterd/SQK-NBD114-96_barcode73_filterd.nanoclust_out.txt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27" xr16:uid="{9734D5A0-7C81-D64A-8879-2BF628DD7643}" name="SQK-NBD114-96_barcode74_filterd.nanoclust_out1" type="6" refreshedVersion="8" background="1" saveData="1">
    <textPr codePage="10001" sourceFile="/Users/nakanishi/Dropbox/00_16S_rRNA/Nanopore_sequencing/NB0012/20241003_0249_MN36499_AVJ469_c244a97d/NanoCLUST/barcode74_3000_25/SQK-NBD114-96_barcode74_filterd/SQK-NBD114-96_barcode74_filterd.nanoclust_out.txt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28" xr16:uid="{6FA2C9BD-9B56-A34D-8955-D8CB448585DB}" name="SQK-NBD114-96_barcode75_filterd.nanoclust_out1" type="6" refreshedVersion="8" background="1" saveData="1">
    <textPr codePage="10001" sourceFile="/Users/nakanishi/Dropbox/00_16S_rRNA/Nanopore_sequencing/NB0012/20241003_0249_MN36499_AVJ469_c244a97d/NanoCLUST/barcode75_3000_25/SQK-NBD114-96_barcode75_filterd/SQK-NBD114-96_barcode75_filterd.nanoclust_out.txt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29" xr16:uid="{3F55415D-C781-D54C-8D9B-9B60917CC686}" name="SQK-NBD114-96_barcode75_filterd.nanoclust_out2" type="6" refreshedVersion="8" background="1" saveData="1">
    <textPr codePage="10001" sourceFile="/Users/nakanishi/Dropbox/00_16S_rRNA/Nanopore_sequencing/NB0012/20241003_0249_MN36499_AVJ469_c244a97d/NanoCLUST/barcode75/SQK-NBD114-96_barcode75_filterd/SQK-NBD114-96_barcode75_filterd.nanoclust_out.txt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30" xr16:uid="{FBB5628C-EB08-D447-87E3-88B616FD7083}" name="SQK-NBD114-96_barcode76_filterd.nanoclust_out1" type="6" refreshedVersion="8" background="1" saveData="1">
    <textPr codePage="10001" sourceFile="/Users/nakanishi/Dropbox/00_16S_rRNA/Nanopore_sequencing/NB0012/20241003_0249_MN36499_AVJ469_c244a97d/NanoCLUST/barcode76_3000_25/SQK-NBD114-96_barcode76_filterd/SQK-NBD114-96_barcode76_filterd.nanoclust_out.txt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31" xr16:uid="{52B9D5B8-FD00-2B49-A154-289CA752C550}" name="SQK-NBD114-96_barcode76_filterd.nanoclust_out2" type="6" refreshedVersion="8" background="1" saveData="1">
    <textPr codePage="10001" sourceFile="/Users/nakanishi/Dropbox/00_16S_rRNA/Nanopore_sequencing/NB0012/20241003_0249_MN36499_AVJ469_c244a97d/NanoCLUST/barcode76/SQK-NBD114-96_barcode76_filterd/SQK-NBD114-96_barcode76_filterd.nanoclust_out.txt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32" xr16:uid="{D5CD0706-3015-0043-B7AC-49A25BD345CA}" name="SQK-NBD114-96_barcode77_filterd.nanoclust_out1" type="6" refreshedVersion="8" background="1" saveData="1">
    <textPr codePage="10001" sourceFile="/Users/nakanishi/Dropbox/00_16S_rRNA/Nanopore_sequencing/NB0012/20241003_0249_MN36499_AVJ469_c244a97d/NanoCLUST/barcode77_3000_25/SQK-NBD114-96_barcode77_filterd/SQK-NBD114-96_barcode77_filterd.nanoclust_out.txt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33" xr16:uid="{933CD18A-151A-CB4D-A877-EC70F9B663D5}" name="SQK-NBD114-96_barcode77_filterd.nanoclust_out2" type="6" refreshedVersion="8" background="1" saveData="1">
    <textPr codePage="10001" sourceFile="/Users/nakanishi/Dropbox/00_16S_rRNA/Nanopore_sequencing/NB0012/20241003_0249_MN36499_AVJ469_c244a97d/NanoCLUST/barcode77/SQK-NBD114-96_barcode77_filterd/SQK-NBD114-96_barcode77_filterd.nanoclust_out.txt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34" xr16:uid="{0D7D2CE3-275C-2440-8A5D-3AA6E299406C}" name="SQK-NBD114-96_barcode78_filterd.nanoclust_out11" type="6" refreshedVersion="8" background="1" saveData="1">
    <textPr codePage="10001" sourceFile="/Users/nakanishi/Dropbox/00_16S_rRNA/Nanopore_sequencing/NB0012/20241003_0249_MN36499_AVJ469_c244a97d/NanoCLUST/barcode78_3000_25/SQK-NBD114-96_barcode78_filterd/SQK-NBD114-96_barcode78_filterd.nanoclust_out.txt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35" xr16:uid="{13A127AD-A51C-E14A-AD8D-E75088F0C5CE}" name="SQK-NBD114-96_barcode78_filterd.nanoclust_out2" type="6" refreshedVersion="8" background="1" saveData="1">
    <textPr codePage="10001" sourceFile="/Users/nakanishi/Dropbox/00_16S_rRNA/Nanopore_sequencing/NB0012/20241003_0249_MN36499_AVJ469_c244a97d/NanoCLUST/barcode78_3000_50/SQK-NBD114-96_barcode78_filterd/SQK-NBD114-96_barcode78_filterd.nanoclust_out.txt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36" xr16:uid="{DA925D51-FCA8-0C44-BA95-748118287DC9}" name="SQK-NBD114-96_barcode78_filterd.nanoclust_out3" type="6" refreshedVersion="8" background="1" saveData="1">
    <textPr codePage="10001" sourceFile="/Users/nakanishi/Dropbox/00_16S_rRNA/Nanopore_sequencing/NB0012/20241003_0249_MN36499_AVJ469_c244a97d/NanoCLUST/barcode78/SQK-NBD114-96_barcode78_filterd/SQK-NBD114-96_barcode78_filterd.nanoclust_out.txt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37" xr16:uid="{7E3E1B3E-8E11-2B4B-9F23-D0BB4CAC4132}" name="SQK-NBD114-96_barcode79_filterd.nanoclust_out1" type="6" refreshedVersion="8" background="1" saveData="1">
    <textPr codePage="10001" sourceFile="/Users/nakanishi/Dropbox/00_16S_rRNA/Nanopore_sequencing/NB0012/20241003_0249_MN36499_AVJ469_c244a97d/NanoCLUST/barcode79_3000_25/SQK-NBD114-96_barcode79_filterd/SQK-NBD114-96_barcode79_filterd.nanoclust_out.txt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38" xr16:uid="{6D76D8DE-9D38-AA49-BF34-8D05CACA8AD9}" name="SQK-NBD114-96_barcode79_filterd.nanoclust_out2" type="6" refreshedVersion="8" background="1" saveData="1">
    <textPr codePage="10001" sourceFile="/Users/nakanishi/Dropbox/00_16S_rRNA/Nanopore_sequencing/NB0012/20241003_0249_MN36499_AVJ469_c244a97d/NanoCLUST/barcode79/SQK-NBD114-96_barcode79_filterd/SQK-NBD114-96_barcode79_filterd.nanoclust_out.txt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39" xr16:uid="{D021CA27-9D80-E843-83E5-1EDEB644191B}" name="SQK-NBD114-96_barcode81_filterd.nanoclust_out1" type="6" refreshedVersion="8" background="1" saveData="1">
    <textPr codePage="10001" sourceFile="/Users/nakanishi/Dropbox/00_16S_rRNA/Nanopore_sequencing/NB0012/20241003_0249_MN36499_AVJ469_c244a97d/NanoCLUST/barcode81_3000_25/SQK-NBD114-96_barcode81_filterd/SQK-NBD114-96_barcode81_filterd.nanoclust_out.txt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40" xr16:uid="{7804E28B-F616-0749-8CBC-12B0D3EF6091}" name="SQK-NBD114-96_barcode81_filterd.nanoclust_out2" type="6" refreshedVersion="8" background="1" saveData="1">
    <textPr codePage="10001" sourceFile="/Users/nakanishi/Dropbox/00_16S_rRNA/Nanopore_sequencing/NB0012/20241003_0249_MN36499_AVJ469_c244a97d/NanoCLUST/barcode81/SQK-NBD114-96_barcode81_filterd/SQK-NBD114-96_barcode81_filterd.nanoclust_out.txt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41" xr16:uid="{87250F04-FD06-0545-997F-A44226EDE142}" name="SQK-NBD114-96_barcode82_filterd.nanoclust_out1" type="6" refreshedVersion="8" background="1" saveData="1">
    <textPr codePage="10001" sourceFile="/Users/nakanishi/Dropbox/00_16S_rRNA/Nanopore_sequencing/NB0012/20241003_0249_MN36499_AVJ469_c244a97d/NanoCLUST/barcode82_3000_25/SQK-NBD114-96_barcode82_filterd/SQK-NBD114-96_barcode82_filterd.nanoclust_out.txt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42" xr16:uid="{9FEC996A-0FFE-FB4F-9D5B-4556C71F9569}" name="SQK-NBD114-96_barcode82_filterd.nanoclust_out2" type="6" refreshedVersion="8" background="1" saveData="1">
    <textPr codePage="10001" sourceFile="/Users/nakanishi/Dropbox/00_16S_rRNA/Nanopore_sequencing/NB0012/20241003_0249_MN36499_AVJ469_c244a97d/NanoCLUST/barcode82/SQK-NBD114-96_barcode82_filterd/SQK-NBD114-96_barcode82_filterd.nanoclust_out.txt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43" xr16:uid="{4EB05301-07A8-A149-95C6-BDAB9BB0A101}" name="SQK-NBD114-96_barcode83_filterd.nanoclust_out1" type="6" refreshedVersion="8" background="1" saveData="1">
    <textPr codePage="10001" sourceFile="/Users/nakanishi/Dropbox/00_16S_rRNA/Nanopore_sequencing/NB0012/20241003_0249_MN36499_AVJ469_c244a97d/NanoCLUST/barcode83_3000_25/SQK-NBD114-96_barcode83_filterd/SQK-NBD114-96_barcode83_filterd.nanoclust_out.txt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44" xr16:uid="{8E96D576-48FA-3E4B-A081-2A857ED9F6D0}" name="SQK-NBD114-96_barcode83_filterd.nanoclust_out2" type="6" refreshedVersion="8" background="1" saveData="1">
    <textPr codePage="10001" sourceFile="/Users/nakanishi/Dropbox/00_16S_rRNA/Nanopore_sequencing/NB0012/20241003_0249_MN36499_AVJ469_c244a97d/NanoCLUST/barcode83/SQK-NBD114-96_barcode83_filterd/SQK-NBD114-96_barcode83_filterd.nanoclust_out.txt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45" xr16:uid="{F17CC35D-3A55-EA41-ADE0-87A1E99F826D}" name="SQK-NBD114-96_barcode84_filterd.nanoclust_out1" type="6" refreshedVersion="8" background="1" saveData="1">
    <textPr codePage="10001" sourceFile="/Users/nakanishi/Dropbox/00_16S_rRNA/Nanopore_sequencing/NB0012/20241003_0249_MN36499_AVJ469_c244a97d/NanoCLUST/barcode84_3000_25/SQK-NBD114-96_barcode84_filterd/SQK-NBD114-96_barcode84_filterd.nanoclust_out.txt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46" xr16:uid="{63C01F1D-0A4F-FE4E-8FB2-D912AD1EADC6}" name="SQK-NBD114-96_barcode84_filterd.nanoclust_out2" type="6" refreshedVersion="8" background="1" saveData="1">
    <textPr codePage="10001" sourceFile="/Users/nakanishi/Dropbox/00_16S_rRNA/Nanopore_sequencing/NB0012/20241003_0249_MN36499_AVJ469_c244a97d/NanoCLUST/barcode84/SQK-NBD114-96_barcode84_filterd/SQK-NBD114-96_barcode84_filterd.nanoclust_out.txt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47" xr16:uid="{34EBD139-59F9-7F41-BBD2-6F1A87889964}" name="SQK-NBD114-96_barcode88_filterd.nanoclust_out1" type="6" refreshedVersion="8" background="1" saveData="1">
    <textPr codePage="10001" sourceFile="/Users/nakanishi/Dropbox/00_16S_rRNA/Nanopore_sequencing/NB0013/20241009_0217_MN36499_AUY545_f3abeff0/NanoCLUST/barcode88_3000_50/SQK-NBD114-96_barcode88_filterd/SQK-NBD114-96_barcode88_filterd.nanoclust_out.txt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<sst xmlns="http://schemas.openxmlformats.org/spreadsheetml/2006/main" count="1924" uniqueCount="307">
  <si>
    <t>specimen</t>
    <phoneticPr fontId="1"/>
  </si>
  <si>
    <t>parts</t>
    <phoneticPr fontId="1"/>
  </si>
  <si>
    <t>reads_in_cluster</t>
  </si>
  <si>
    <t>taxid</t>
  </si>
  <si>
    <t>length</t>
  </si>
  <si>
    <t>per_ident</t>
  </si>
  <si>
    <t>rel_abundance</t>
    <phoneticPr fontId="1"/>
  </si>
  <si>
    <t>head_1-3_segments</t>
  </si>
  <si>
    <t>Metallibacterium scheffleri</t>
  </si>
  <si>
    <t>Mycobacterium cookii</t>
  </si>
  <si>
    <t>Conexibacter woesei</t>
  </si>
  <si>
    <t>Crateriforma conspicua</t>
  </si>
  <si>
    <t>Shigella flexneri</t>
  </si>
  <si>
    <t>Anaerotignum lactatifermentans</t>
  </si>
  <si>
    <t>Peristeroidobacter agariperforans</t>
  </si>
  <si>
    <t>Methylobacterium jeotgali</t>
  </si>
  <si>
    <t>Caulobacter henricii</t>
  </si>
  <si>
    <t>Shahulinema minutum</t>
  </si>
  <si>
    <t>Mycobacterium alsense</t>
  </si>
  <si>
    <t>Methanothrix soehngenii GP6</t>
  </si>
  <si>
    <t>Bradyrhizobium rifense</t>
  </si>
  <si>
    <t>Thainema salinarum</t>
  </si>
  <si>
    <t>Ferrimicrobium acidiphilum</t>
  </si>
  <si>
    <t>Caulobacter segnis</t>
  </si>
  <si>
    <t>Bradyrhizobium embrapense</t>
  </si>
  <si>
    <t>4-6_segments</t>
  </si>
  <si>
    <t>Pradoshia eiseniae</t>
  </si>
  <si>
    <t>Ferroacidibacillus organovorans</t>
  </si>
  <si>
    <t>Corynebacterium dentalis</t>
  </si>
  <si>
    <t>Aciditerrimonas ferrireducens JCM 15389</t>
  </si>
  <si>
    <t>Mycolicibacterium lutetiense</t>
  </si>
  <si>
    <t>Neochroococcus gongqingensis</t>
  </si>
  <si>
    <t>Methylobacterium radiotolerans JCM 2831</t>
  </si>
  <si>
    <t>7-9_segments</t>
  </si>
  <si>
    <t>Bradyrhizobium japonicum</t>
  </si>
  <si>
    <t>Legionella tunisiensis</t>
  </si>
  <si>
    <t>Bradyrhizobium altum</t>
  </si>
  <si>
    <t>10-12_segments</t>
    <phoneticPr fontId="1"/>
  </si>
  <si>
    <t>10-12_segments</t>
  </si>
  <si>
    <t>Pseudochroococcus couteii</t>
  </si>
  <si>
    <t>Chryseobacterium daecheongense</t>
  </si>
  <si>
    <t>Bradyrhizobium oligotrophicum S58</t>
  </si>
  <si>
    <t>Achromobacter marplatensis</t>
  </si>
  <si>
    <t>Cutibacterium acnes</t>
  </si>
  <si>
    <t>Mycolicibacterium pallens</t>
  </si>
  <si>
    <t>Acidiphilium multivorum</t>
  </si>
  <si>
    <t>[Clostridium] colinum</t>
  </si>
  <si>
    <t>Acinetobacter oryzae</t>
  </si>
  <si>
    <t>Alicyclobacillus disulfidooxidans</t>
  </si>
  <si>
    <t>Epilithonimonas pallida</t>
  </si>
  <si>
    <t>Acidithiobacillus ferrianus</t>
  </si>
  <si>
    <t>Mycobacterium saskatchewanense</t>
  </si>
  <si>
    <t>Caedimonas varicaedens</t>
  </si>
  <si>
    <t>Undibacterium luofuense</t>
  </si>
  <si>
    <t>Beggiatoa leptomitoformis</t>
  </si>
  <si>
    <t>Allobacillus salarius</t>
  </si>
  <si>
    <t>Agromyces laixinhei</t>
  </si>
  <si>
    <t>Imtechella halotolerans</t>
  </si>
  <si>
    <t>Methylorubrum podarium</t>
  </si>
  <si>
    <t>Streptomyces maoxianensis</t>
  </si>
  <si>
    <t>Methylocella tundrae</t>
  </si>
  <si>
    <t>Dermacoccus barathri</t>
  </si>
  <si>
    <t>Moraxella osloensis</t>
  </si>
  <si>
    <t>Anaeropeptidivorans aminofermentans</t>
  </si>
  <si>
    <t>Sphingomonas palmae</t>
  </si>
  <si>
    <t>Ehrlichia chaffeensis</t>
  </si>
  <si>
    <t>Gloeobacter kilaueensis JS1</t>
  </si>
  <si>
    <t>Mycobacterium fragae</t>
  </si>
  <si>
    <t>Acidiferrimicrobium australe</t>
  </si>
  <si>
    <t>4-6_segments</t>
    <phoneticPr fontId="1"/>
  </si>
  <si>
    <t>Sphingomonas spermidinifaciens</t>
  </si>
  <si>
    <t>Sphingomonas aeria (ex Park et al. 2015)</t>
  </si>
  <si>
    <t>Altererythrobacter palmitatis</t>
  </si>
  <si>
    <t>Micrococcus luteus</t>
  </si>
  <si>
    <t>7-9_segments</t>
    <phoneticPr fontId="1"/>
  </si>
  <si>
    <t>Bradyrhizobium ganzhouense</t>
  </si>
  <si>
    <t>Loriellopsis cavernicola</t>
  </si>
  <si>
    <t>Sulfobacillus harzensis</t>
  </si>
  <si>
    <t>Acidibacter ferrireducens</t>
  </si>
  <si>
    <t>Novosphingobium lotistagni</t>
  </si>
  <si>
    <t>Staphylococcus capitis</t>
  </si>
  <si>
    <t>-</t>
    <phoneticPr fontId="1"/>
  </si>
  <si>
    <t>Domibacillus epiphyticus(OTU_Bacillaceae_Yukawa)</t>
    <phoneticPr fontId="1"/>
  </si>
  <si>
    <t>Annotation</t>
    <rPh sb="0" eb="1">
      <t>ジドウ</t>
    </rPh>
    <phoneticPr fontId="1"/>
  </si>
  <si>
    <t>Pradoshia eiseniae(OTU_Bacillaceae_Yukawa)</t>
    <phoneticPr fontId="1"/>
  </si>
  <si>
    <t>Domibacillus mangrovi(OTU_Bacillaceae_Yukawa)</t>
    <phoneticPr fontId="1"/>
  </si>
  <si>
    <t>Cymatolege isodiametrica</t>
  </si>
  <si>
    <t>Bradyrhizobium centrosematis</t>
  </si>
  <si>
    <t>Mycolicibacterium lutetiense</t>
    <phoneticPr fontId="1"/>
  </si>
  <si>
    <t>Euryhalinema shahuense</t>
  </si>
  <si>
    <t>Cutibacterium acnes</t>
    <phoneticPr fontId="1"/>
  </si>
  <si>
    <t>Alicyclobacillus mengziensis</t>
  </si>
  <si>
    <t>NoName</t>
    <phoneticPr fontId="1"/>
  </si>
  <si>
    <t>Gansulinema desertorum</t>
  </si>
  <si>
    <t>Bradyrhizobium frederickii</t>
  </si>
  <si>
    <t>Bradyrhizobium japonicum</t>
    <phoneticPr fontId="1"/>
  </si>
  <si>
    <t>Sulfuricaulis limicola</t>
  </si>
  <si>
    <t>Mycobacterium cookii</t>
    <phoneticPr fontId="1"/>
  </si>
  <si>
    <t>Manuel annotation</t>
    <phoneticPr fontId="1"/>
  </si>
  <si>
    <t>Automatic annotation</t>
    <phoneticPr fontId="1"/>
  </si>
  <si>
    <t>head_1-3_segments</t>
    <phoneticPr fontId="1"/>
  </si>
  <si>
    <t>rel_abundance</t>
  </si>
  <si>
    <t>head_and_1-3_segments</t>
  </si>
  <si>
    <t>head_and_1-3_segments</t>
    <phoneticPr fontId="1"/>
  </si>
  <si>
    <t>Pradoshia eiseniae</t>
    <phoneticPr fontId="1"/>
  </si>
  <si>
    <t>Annotation</t>
    <phoneticPr fontId="1"/>
  </si>
  <si>
    <t>Order annotation</t>
    <phoneticPr fontId="1"/>
  </si>
  <si>
    <t>condition</t>
    <phoneticPr fontId="1"/>
  </si>
  <si>
    <t>Rickettsiales</t>
    <phoneticPr fontId="1"/>
  </si>
  <si>
    <t>Acidiferrobacterales</t>
    <phoneticPr fontId="1"/>
  </si>
  <si>
    <t>Acidimicrobiales</t>
    <phoneticPr fontId="1"/>
  </si>
  <si>
    <t>Acidithiobacillales</t>
    <phoneticPr fontId="1"/>
  </si>
  <si>
    <t>Corynebacteriales(Mycobacteriales)</t>
  </si>
  <si>
    <t>Desulfobacterales</t>
  </si>
  <si>
    <t>Desulfobacterales</t>
    <phoneticPr fontId="1"/>
  </si>
  <si>
    <t>Lysobacterales</t>
  </si>
  <si>
    <t>Nitrospirales</t>
  </si>
  <si>
    <t>not_assigned_to_order</t>
    <phoneticPr fontId="1"/>
  </si>
  <si>
    <t>not_assigned_to_order</t>
  </si>
  <si>
    <t>Planctomycetales</t>
    <phoneticPr fontId="1"/>
  </si>
  <si>
    <t>Planctomycetales</t>
  </si>
  <si>
    <t>Rhodospirillales</t>
  </si>
  <si>
    <t>Terriglobales</t>
    <phoneticPr fontId="1"/>
  </si>
  <si>
    <t>Water_Wild_habitat_01</t>
  </si>
  <si>
    <t>Water_Wild_habitat_01</t>
    <phoneticPr fontId="1"/>
  </si>
  <si>
    <t>Water_Wild_habitat_02</t>
  </si>
  <si>
    <t>Water_Wild_habitat_03</t>
  </si>
  <si>
    <t>Water_rearing_01</t>
  </si>
  <si>
    <t>Water_rearing_02</t>
  </si>
  <si>
    <t>Water_rearing_03</t>
  </si>
  <si>
    <t>Order</t>
    <phoneticPr fontId="1"/>
  </si>
  <si>
    <t>Family</t>
    <phoneticPr fontId="1"/>
  </si>
  <si>
    <t>Genus</t>
    <phoneticPr fontId="1"/>
  </si>
  <si>
    <t>NB0017</t>
  </si>
  <si>
    <t>Acidibacter ferrireducens</t>
    <phoneticPr fontId="1"/>
  </si>
  <si>
    <t>not assigned to order</t>
    <phoneticPr fontId="1"/>
  </si>
  <si>
    <t>not assigned to family</t>
    <phoneticPr fontId="1"/>
  </si>
  <si>
    <t>Acidibacter</t>
    <phoneticPr fontId="1"/>
  </si>
  <si>
    <t>OTU_Acidibacter_sp.</t>
    <phoneticPr fontId="1"/>
  </si>
  <si>
    <t>NB0017</t>
    <phoneticPr fontId="1"/>
  </si>
  <si>
    <t>Acidibrevibacterium fodinaquatile</t>
    <phoneticPr fontId="1"/>
  </si>
  <si>
    <t>Rhodospirillales</t>
    <phoneticPr fontId="1"/>
  </si>
  <si>
    <t>Acetobacteraceae</t>
    <phoneticPr fontId="1"/>
  </si>
  <si>
    <t>Acidibrevibacterium</t>
    <phoneticPr fontId="1"/>
  </si>
  <si>
    <t>OTU_Acidibrevibacterium_fodinaquatile</t>
    <phoneticPr fontId="1"/>
  </si>
  <si>
    <t>Acidiferrimicrobium australe</t>
    <phoneticPr fontId="1"/>
  </si>
  <si>
    <t>Acidimicrobiaceae</t>
    <phoneticPr fontId="1"/>
  </si>
  <si>
    <t>Acidiferrimicrobium</t>
  </si>
  <si>
    <t>OTU_Acidimicrobiaceae</t>
    <phoneticPr fontId="1"/>
  </si>
  <si>
    <t>Acidiphilium multivorum</t>
    <phoneticPr fontId="1"/>
  </si>
  <si>
    <t>Acidiphilium</t>
    <phoneticPr fontId="1"/>
  </si>
  <si>
    <t>OTU_Acidiphilium multivorum</t>
    <phoneticPr fontId="1"/>
  </si>
  <si>
    <t>Anaplasma phagocytophilum</t>
    <phoneticPr fontId="1"/>
  </si>
  <si>
    <t>Ehrlichiaceae</t>
    <phoneticPr fontId="1"/>
  </si>
  <si>
    <t>Anaplasma</t>
    <phoneticPr fontId="1"/>
  </si>
  <si>
    <t>OTU_Ehrlichiaceae</t>
    <phoneticPr fontId="1"/>
  </si>
  <si>
    <t>Corynebacteriales(Mycobacteriales)</t>
    <phoneticPr fontId="1"/>
  </si>
  <si>
    <t>Corynebacteriaceae</t>
  </si>
  <si>
    <t>Corynebacterium</t>
  </si>
  <si>
    <t>OTU_Corynebacteriaceae_Yukawa</t>
    <phoneticPr fontId="1"/>
  </si>
  <si>
    <t>Crateriforma conspicua</t>
    <phoneticPr fontId="1"/>
  </si>
  <si>
    <t>Planctomycetaceae</t>
    <phoneticPr fontId="1"/>
  </si>
  <si>
    <t>Crateriforma</t>
    <phoneticPr fontId="1"/>
  </si>
  <si>
    <t>Ferrimicrobium</t>
    <phoneticPr fontId="1"/>
  </si>
  <si>
    <t>Ferrimicrobium acidiphilum</t>
    <phoneticPr fontId="1"/>
  </si>
  <si>
    <t>Granulicella mallensis MP5ACTX8</t>
    <phoneticPr fontId="1"/>
  </si>
  <si>
    <t>Acidobacteriaceae</t>
    <phoneticPr fontId="1"/>
  </si>
  <si>
    <t>Granulicella</t>
    <phoneticPr fontId="1"/>
  </si>
  <si>
    <t>OTU_Granulicella_sp.</t>
    <phoneticPr fontId="1"/>
  </si>
  <si>
    <t>Leptospirillum ferriphilum</t>
    <phoneticPr fontId="1"/>
  </si>
  <si>
    <t>Nitrospirales</t>
    <phoneticPr fontId="1"/>
  </si>
  <si>
    <t>Nitrospiraceae</t>
    <phoneticPr fontId="1"/>
  </si>
  <si>
    <t>Leptospirillum</t>
    <phoneticPr fontId="1"/>
  </si>
  <si>
    <t>OTU_Nitrospiraceae</t>
    <phoneticPr fontId="1"/>
  </si>
  <si>
    <t>Lysobacterales</t>
    <phoneticPr fontId="1"/>
  </si>
  <si>
    <t xml:space="preserve">	Lysobacteraceae</t>
    <phoneticPr fontId="1"/>
  </si>
  <si>
    <t>Metallibacterium</t>
    <phoneticPr fontId="1"/>
  </si>
  <si>
    <t>Mycobacteriaceae</t>
  </si>
  <si>
    <t>Mycobacterium</t>
  </si>
  <si>
    <t>Sulfuricaulis limicola</t>
    <phoneticPr fontId="1"/>
  </si>
  <si>
    <t xml:space="preserve">	Acidiferrobacteraceae</t>
    <phoneticPr fontId="1"/>
  </si>
  <si>
    <t>Sulfuricaulis</t>
  </si>
  <si>
    <t>OTU_Acidiferrobacteraceae</t>
    <phoneticPr fontId="1"/>
  </si>
  <si>
    <t>NB0009</t>
    <phoneticPr fontId="1"/>
  </si>
  <si>
    <t>Ehrlichia chaffeensis</t>
    <phoneticPr fontId="1"/>
  </si>
  <si>
    <t>Ehrlichia</t>
    <phoneticPr fontId="1"/>
  </si>
  <si>
    <t>OTU_Ehrlichiaceae_Yukawa</t>
    <phoneticPr fontId="1"/>
  </si>
  <si>
    <t>Desulfococcus multivorans</t>
  </si>
  <si>
    <t xml:space="preserve">	Desulfococcaceae</t>
    <phoneticPr fontId="1"/>
  </si>
  <si>
    <t>Desulfococcus</t>
    <phoneticPr fontId="1"/>
  </si>
  <si>
    <t>Acidithiobacillus caldus</t>
    <phoneticPr fontId="1"/>
  </si>
  <si>
    <t xml:space="preserve">	Acidithiobacillales</t>
    <phoneticPr fontId="1"/>
  </si>
  <si>
    <t>Acidithiobacillaceae</t>
    <phoneticPr fontId="1"/>
  </si>
  <si>
    <t>Acidithiobacillus</t>
    <phoneticPr fontId="1"/>
  </si>
  <si>
    <t>Acidithiobacillus ferrooxidans</t>
  </si>
  <si>
    <t>Desulfococcus multivorans</t>
    <phoneticPr fontId="1"/>
  </si>
  <si>
    <t>Desulfococcaceae</t>
    <phoneticPr fontId="1"/>
  </si>
  <si>
    <t>Acidithiobacillus caldus</t>
  </si>
  <si>
    <t>NB0009</t>
  </si>
  <si>
    <t xml:space="preserve">	Rickettsiales</t>
    <phoneticPr fontId="1"/>
  </si>
  <si>
    <t xml:space="preserve">	Ehrlichiaceae</t>
    <phoneticPr fontId="1"/>
  </si>
  <si>
    <t xml:space="preserve">	Ehrlichia</t>
    <phoneticPr fontId="1"/>
  </si>
  <si>
    <t>Leptospirillum ferrooxidans</t>
    <phoneticPr fontId="1"/>
  </si>
  <si>
    <t>Nitrospiraceae</t>
  </si>
  <si>
    <t>OTU_Leptospirillum_ferrooxidans_Yukawa</t>
    <phoneticPr fontId="1"/>
  </si>
  <si>
    <t>OTU_Acidithiobacillus_ferrooxidans_Yukawa</t>
    <phoneticPr fontId="1"/>
  </si>
  <si>
    <t>OTU_Desulfococcaceae_Yukawa</t>
    <phoneticPr fontId="1"/>
  </si>
  <si>
    <t>RunID</t>
    <phoneticPr fontId="1"/>
  </si>
  <si>
    <t>OTU_Acidithiobacillus_sp._Yukawa</t>
    <phoneticPr fontId="1"/>
  </si>
  <si>
    <t>Acidithiobacillaceae</t>
  </si>
  <si>
    <t>Acidithiobacillus</t>
  </si>
  <si>
    <t>OTU_Acidithiobacillus_sp._Yukawa</t>
  </si>
  <si>
    <t>OTU_Metallibacterium_sp.</t>
    <phoneticPr fontId="1"/>
  </si>
  <si>
    <t>OTU_Mycobacterium_cookii</t>
    <phoneticPr fontId="1"/>
  </si>
  <si>
    <t>OTU_Mycobacterium_sp.</t>
    <phoneticPr fontId="1"/>
  </si>
  <si>
    <t>OTU_Mycolicibacterium_sp.</t>
    <phoneticPr fontId="1"/>
  </si>
  <si>
    <t>OTU_Planctomycetaceae</t>
    <phoneticPr fontId="1"/>
  </si>
  <si>
    <t>Water_rearing_01</t>
    <phoneticPr fontId="1"/>
  </si>
  <si>
    <t>Automatic annnotation</t>
    <phoneticPr fontId="1"/>
  </si>
  <si>
    <t>Bacillaceae</t>
  </si>
  <si>
    <t>Bacillales</t>
  </si>
  <si>
    <t>Anaeropeptidivorans</t>
    <phoneticPr fontId="1"/>
  </si>
  <si>
    <t>Lachnospiraceae</t>
    <phoneticPr fontId="1"/>
  </si>
  <si>
    <t>Lachnospirales</t>
    <phoneticPr fontId="1"/>
  </si>
  <si>
    <t>Anaeropeptidivorans aminofermentans</t>
    <phoneticPr fontId="1"/>
  </si>
  <si>
    <t>Corynebacterium dentalis</t>
    <phoneticPr fontId="1"/>
  </si>
  <si>
    <t>Sphingomonas</t>
    <phoneticPr fontId="1"/>
  </si>
  <si>
    <t>Sphingomonadaceae</t>
    <phoneticPr fontId="1"/>
  </si>
  <si>
    <t>Sphingomonadales</t>
    <phoneticPr fontId="1"/>
  </si>
  <si>
    <t>Mycolicibacterium</t>
  </si>
  <si>
    <t>Bradyrhizobium</t>
    <phoneticPr fontId="1"/>
  </si>
  <si>
    <t>Nitrobacteraceae</t>
    <phoneticPr fontId="1"/>
  </si>
  <si>
    <t>Hyphomicrobiales</t>
    <phoneticPr fontId="1"/>
  </si>
  <si>
    <t>Metallibacterium scheffleri</t>
    <phoneticPr fontId="1"/>
  </si>
  <si>
    <t>Neochroococcus</t>
    <phoneticPr fontId="1"/>
  </si>
  <si>
    <t>Chroococcaceae</t>
    <phoneticPr fontId="1"/>
  </si>
  <si>
    <t>Chroococcales</t>
    <phoneticPr fontId="1"/>
  </si>
  <si>
    <t>Neochroococcus gongqingensis</t>
    <phoneticPr fontId="1"/>
  </si>
  <si>
    <t>Domibacillus</t>
    <phoneticPr fontId="1"/>
  </si>
  <si>
    <t>Bacillaceae</t>
    <phoneticPr fontId="1"/>
  </si>
  <si>
    <t>Domibacillus epiphyticus</t>
    <phoneticPr fontId="1"/>
  </si>
  <si>
    <t>Sphingomonas chloroacetimidivorans</t>
    <phoneticPr fontId="1"/>
  </si>
  <si>
    <t>Robertmurraya</t>
  </si>
  <si>
    <t>Robertmurraya massiliosenegalensis</t>
    <phoneticPr fontId="1"/>
  </si>
  <si>
    <t>Mycobacterium alsense</t>
    <phoneticPr fontId="1"/>
  </si>
  <si>
    <t>Aciditerrimonas</t>
  </si>
  <si>
    <t>Aciditerrimonas ferrireducens JCM 15389</t>
    <phoneticPr fontId="1"/>
  </si>
  <si>
    <t>Legionella</t>
  </si>
  <si>
    <t>Legionellaceae</t>
  </si>
  <si>
    <t>Legionella tunisiensis</t>
    <phoneticPr fontId="1"/>
  </si>
  <si>
    <t>Per. identifer</t>
    <phoneticPr fontId="1"/>
  </si>
  <si>
    <t>Whole_rearing_1</t>
  </si>
  <si>
    <t>Whole_rearing_2</t>
  </si>
  <si>
    <t>Whole_rearing_3</t>
  </si>
  <si>
    <t>Whole_wild_habitat_1</t>
    <phoneticPr fontId="1"/>
  </si>
  <si>
    <t>Whole_wild_habitat_2</t>
    <phoneticPr fontId="1"/>
  </si>
  <si>
    <t>Whole_wild_habitat_3</t>
    <phoneticPr fontId="1"/>
  </si>
  <si>
    <t>OTU_Corynebacteriaceae_Yukawa</t>
  </si>
  <si>
    <t>OTU_Legionellaceae</t>
  </si>
  <si>
    <t>OTU_Mycobacterium cookii</t>
  </si>
  <si>
    <t>OTU_Bacillaceae_Yukawa</t>
  </si>
  <si>
    <t>OTU_Acidithiobacillus sp._Yukawa</t>
  </si>
  <si>
    <t>OTU_Acidithiobacillus ferrooxidans_Yukawa</t>
  </si>
  <si>
    <t>OTU_Acidithiobacillus sp._Yukawa</t>
    <phoneticPr fontId="1"/>
  </si>
  <si>
    <t>OTU_Ehrlichiaceae_Yukawa</t>
  </si>
  <si>
    <t>OTU_Bradyrhizobium japonicum</t>
  </si>
  <si>
    <t>OTU_Mycobacterium sp.</t>
  </si>
  <si>
    <t>OTU_Lachnospiraceae_Yukawa</t>
  </si>
  <si>
    <t>Acidithiobacillus ferrooxidans</t>
    <phoneticPr fontId="1"/>
  </si>
  <si>
    <t>relative_abundance</t>
  </si>
  <si>
    <t>OTU_Acidimicrobiaceae</t>
  </si>
  <si>
    <t>OTU_Mycolicibacterium sp.</t>
  </si>
  <si>
    <t xml:space="preserve">Pradoshia </t>
  </si>
  <si>
    <t>OTU_Sphingomonadaceae</t>
    <phoneticPr fontId="1"/>
  </si>
  <si>
    <t>OTU_Bacillaceae_2</t>
    <phoneticPr fontId="1"/>
  </si>
  <si>
    <t>OTU_Metallibacterium sp.</t>
  </si>
  <si>
    <t>OTU_Chroococcaceae</t>
  </si>
  <si>
    <t>OTU_Bacillaceae_3</t>
    <phoneticPr fontId="1"/>
  </si>
  <si>
    <t>Pradoshia</t>
  </si>
  <si>
    <t>Class</t>
    <phoneticPr fontId="1"/>
  </si>
  <si>
    <t>Phylum</t>
  </si>
  <si>
    <t>Actinomycetota</t>
    <phoneticPr fontId="1"/>
  </si>
  <si>
    <t>Actinobacteria</t>
  </si>
  <si>
    <t>Legionellales</t>
    <phoneticPr fontId="1"/>
  </si>
  <si>
    <t>Pseudomonadota</t>
    <phoneticPr fontId="1"/>
  </si>
  <si>
    <t>Gammaproteobacteria</t>
    <phoneticPr fontId="1"/>
  </si>
  <si>
    <t>Acidimicrobiia</t>
    <phoneticPr fontId="1"/>
  </si>
  <si>
    <t>Actinomycetes</t>
    <phoneticPr fontId="1"/>
  </si>
  <si>
    <t>Actinobacteria</t>
    <phoneticPr fontId="1"/>
  </si>
  <si>
    <t>Bacillales</t>
    <phoneticPr fontId="1"/>
  </si>
  <si>
    <t>Firmicutes</t>
    <phoneticPr fontId="1"/>
  </si>
  <si>
    <t>Bacilli</t>
    <phoneticPr fontId="1"/>
  </si>
  <si>
    <t>Alphaproteobacteria</t>
    <phoneticPr fontId="1"/>
  </si>
  <si>
    <t>Cyanobacteria</t>
    <phoneticPr fontId="1"/>
  </si>
  <si>
    <t>Cyanophyceae</t>
    <phoneticPr fontId="1"/>
  </si>
  <si>
    <t>Proteobacteria</t>
    <phoneticPr fontId="1"/>
  </si>
  <si>
    <t>Acidithiobacillia</t>
    <phoneticPr fontId="1"/>
  </si>
  <si>
    <t>Bacillota</t>
    <phoneticPr fontId="1"/>
  </si>
  <si>
    <t>Clostridia</t>
    <phoneticPr fontId="1"/>
  </si>
  <si>
    <t>Proteobac+E31teria</t>
    <phoneticPr fontId="1"/>
  </si>
  <si>
    <t>Deltaproteobacteria</t>
    <phoneticPr fontId="1"/>
  </si>
  <si>
    <t>Nitrospiria</t>
    <phoneticPr fontId="1"/>
  </si>
  <si>
    <t>Nitrospirota</t>
    <phoneticPr fontId="1"/>
  </si>
  <si>
    <t>Planctomycetota</t>
    <phoneticPr fontId="1"/>
  </si>
  <si>
    <t>Planctomycetia</t>
    <phoneticPr fontId="1"/>
  </si>
  <si>
    <t>Terriglobia</t>
    <phoneticPr fontId="1"/>
  </si>
  <si>
    <t>Acidobacteriota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</si>
</sst>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000000000000_ "/>
  </numFmts>
  <fonts count="1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Arial"/>
      <family val="2"/>
    </font>
    <font>
      <sz val="12"/>
      <color rgb="FFFF0000"/>
      <name val="Arial"/>
      <family val="2"/>
    </font>
    <font>
      <u/>
      <sz val="12"/>
      <color theme="10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  <font>
      <sz val="12"/>
      <color rgb="FF000000"/>
      <name val="Arial"/>
      <family val="2"/>
    </font>
    <font>
      <sz val="12"/>
      <color rgb="FFFF0000"/>
      <name val="游ゴシック"/>
      <family val="3"/>
      <charset val="128"/>
      <scheme val="minor"/>
    </font>
    <font>
      <u/>
      <sz val="12"/>
      <color theme="1"/>
      <name val="Arial"/>
      <family val="2"/>
    </font>
    <font>
      <sz val="10"/>
      <color rgb="FF000000"/>
      <name val="Verdana"/>
      <family val="2"/>
    </font>
    <font>
      <b/>
      <sz val="10"/>
      <color rgb="FF000000"/>
      <name val="Hiragino Kaku Gothic ProN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56" fontId="2" fillId="2" borderId="0" xfId="0" applyNumberFormat="1" applyFont="1" applyFill="1">
      <alignment vertical="center"/>
    </xf>
    <xf numFmtId="56" fontId="2" fillId="3" borderId="0" xfId="0" applyNumberFormat="1" applyFont="1" applyFill="1">
      <alignment vertical="center"/>
    </xf>
    <xf numFmtId="56" fontId="2" fillId="0" borderId="0" xfId="0" applyNumberFormat="1" applyFont="1">
      <alignment vertical="center"/>
    </xf>
    <xf numFmtId="0" fontId="0" fillId="2" borderId="0" xfId="0" applyFill="1">
      <alignment vertical="center"/>
    </xf>
    <xf numFmtId="176" fontId="2" fillId="0" borderId="0" xfId="0" applyNumberFormat="1" applyFont="1">
      <alignment vertical="center"/>
    </xf>
    <xf numFmtId="176" fontId="2" fillId="2" borderId="0" xfId="0" applyNumberFormat="1" applyFont="1" applyFill="1">
      <alignment vertical="center"/>
    </xf>
    <xf numFmtId="0" fontId="3" fillId="0" borderId="0" xfId="0" applyFont="1">
      <alignment vertical="center"/>
    </xf>
    <xf numFmtId="0" fontId="3" fillId="2" borderId="0" xfId="0" applyFont="1" applyFill="1">
      <alignment vertical="center"/>
    </xf>
    <xf numFmtId="176" fontId="0" fillId="0" borderId="0" xfId="0" applyNumberFormat="1">
      <alignment vertical="center"/>
    </xf>
    <xf numFmtId="176" fontId="0" fillId="2" borderId="0" xfId="0" applyNumberFormat="1" applyFill="1">
      <alignment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0" fontId="2" fillId="0" borderId="2" xfId="0" applyFont="1" applyBorder="1">
      <alignment vertical="center"/>
    </xf>
    <xf numFmtId="0" fontId="0" fillId="0" borderId="2" xfId="0" applyBorder="1">
      <alignment vertical="center"/>
    </xf>
    <xf numFmtId="0" fontId="2" fillId="2" borderId="1" xfId="0" applyFont="1" applyFill="1" applyBorder="1">
      <alignment vertical="center"/>
    </xf>
    <xf numFmtId="56" fontId="2" fillId="2" borderId="1" xfId="0" applyNumberFormat="1" applyFont="1" applyFill="1" applyBorder="1">
      <alignment vertical="center"/>
    </xf>
    <xf numFmtId="176" fontId="2" fillId="2" borderId="1" xfId="0" applyNumberFormat="1" applyFont="1" applyFill="1" applyBorder="1">
      <alignment vertical="center"/>
    </xf>
    <xf numFmtId="56" fontId="2" fillId="3" borderId="1" xfId="0" applyNumberFormat="1" applyFont="1" applyFill="1" applyBorder="1">
      <alignment vertical="center"/>
    </xf>
    <xf numFmtId="176" fontId="2" fillId="0" borderId="1" xfId="0" applyNumberFormat="1" applyFont="1" applyBorder="1">
      <alignment vertical="center"/>
    </xf>
    <xf numFmtId="0" fontId="2" fillId="2" borderId="3" xfId="0" applyFont="1" applyFill="1" applyBorder="1">
      <alignment vertical="center"/>
    </xf>
    <xf numFmtId="56" fontId="2" fillId="2" borderId="3" xfId="0" applyNumberFormat="1" applyFont="1" applyFill="1" applyBorder="1">
      <alignment vertical="center"/>
    </xf>
    <xf numFmtId="176" fontId="2" fillId="2" borderId="3" xfId="0" applyNumberFormat="1" applyFont="1" applyFill="1" applyBorder="1">
      <alignment vertical="center"/>
    </xf>
    <xf numFmtId="56" fontId="2" fillId="0" borderId="1" xfId="0" applyNumberFormat="1" applyFont="1" applyBorder="1">
      <alignment vertical="center"/>
    </xf>
    <xf numFmtId="0" fontId="0" fillId="0" borderId="3" xfId="0" applyBorder="1">
      <alignment vertical="center"/>
    </xf>
    <xf numFmtId="176" fontId="0" fillId="0" borderId="3" xfId="0" applyNumberFormat="1" applyBorder="1">
      <alignment vertical="center"/>
    </xf>
    <xf numFmtId="176" fontId="0" fillId="0" borderId="1" xfId="0" applyNumberFormat="1" applyBorder="1">
      <alignment vertical="center"/>
    </xf>
    <xf numFmtId="0" fontId="0" fillId="2" borderId="3" xfId="0" applyFill="1" applyBorder="1">
      <alignment vertical="center"/>
    </xf>
    <xf numFmtId="176" fontId="0" fillId="2" borderId="3" xfId="0" applyNumberFormat="1" applyFill="1" applyBorder="1">
      <alignment vertical="center"/>
    </xf>
    <xf numFmtId="0" fontId="0" fillId="2" borderId="1" xfId="0" applyFill="1" applyBorder="1">
      <alignment vertical="center"/>
    </xf>
    <xf numFmtId="176" fontId="0" fillId="2" borderId="1" xfId="0" applyNumberFormat="1" applyFill="1" applyBorder="1">
      <alignment vertical="center"/>
    </xf>
    <xf numFmtId="0" fontId="2" fillId="0" borderId="0" xfId="1" applyFont="1" applyFill="1">
      <alignment vertical="center"/>
    </xf>
    <xf numFmtId="0" fontId="6" fillId="2" borderId="0" xfId="0" applyFont="1" applyFill="1">
      <alignment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1" applyFont="1" applyFill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177" fontId="0" fillId="0" borderId="0" xfId="0" applyNumberFormat="1">
      <alignment vertical="center"/>
    </xf>
    <xf numFmtId="176" fontId="5" fillId="0" borderId="0" xfId="0" applyNumberFormat="1" applyFont="1">
      <alignment vertical="center"/>
    </xf>
    <xf numFmtId="176" fontId="7" fillId="0" borderId="0" xfId="0" applyNumberFormat="1" applyFont="1">
      <alignment vertical="center"/>
    </xf>
    <xf numFmtId="0" fontId="2" fillId="2" borderId="0" xfId="1" applyFont="1" applyFill="1">
      <alignment vertical="center"/>
    </xf>
    <xf numFmtId="176" fontId="11" fillId="0" borderId="0" xfId="0" applyNumberFormat="1" applyFont="1">
      <alignment vertical="center"/>
    </xf>
    <xf numFmtId="176" fontId="12" fillId="0" borderId="0" xfId="0" applyNumberFormat="1" applyFo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QK_NBD114_96_barcode73_filterd.nanoclust_out_1" connectionId="25" xr16:uid="{435DFA00-3E06-BB4D-9C1B-5827888E4551}" autoFormatId="20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QK_NBD114_96_barcode74_filterd.nanoclust_out_1" connectionId="27" xr16:uid="{2D8E5648-DC39-6040-87D3-15F96F9BE53F}" autoFormatId="20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QK_NBD114_96_barcode78_filterd.nanoclust_out_1" connectionId="35" xr16:uid="{2483CD8C-11CC-574B-B0C3-B926AC1D991D}" autoFormatId="20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QK-NBD114-96_barcode78_filterd.nanoclust_out" connectionId="34" xr16:uid="{88001867-7F12-CE4C-88C9-365800356785}" autoFormatId="20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QK-NBD114-96_barcode88_filterd.nanoclust_out" connectionId="47" xr16:uid="{F0FA334E-856D-2749-AE97-1271E8A65785}" autoFormatId="20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QK-NBD114-96_barcode79_filterd.nanoclust_out" connectionId="37" xr16:uid="{C82B9E54-DB0A-7443-919C-7C1A2AD97286}" autoFormatId="20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QK_NBD114_96_barcode76_filterd.nanoclust_out_1" connectionId="30" xr16:uid="{4B5AE3A7-A3DD-A84B-9BF1-B490D8A7F088}" autoFormatId="20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QK-NBD114-96_barcode81_filterd.nanoclust_out" connectionId="39" xr16:uid="{C543DE12-3D73-194F-BCE6-EB4D59BB4EA3}" autoFormatId="20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QK_NBD114_96_barcode75_filterd.nanoclust_out_1" connectionId="28" xr16:uid="{3640A0A0-F63A-8C47-AFD8-BC22CB6D959E}" autoFormatId="20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QK-NBD114-96_barcode77_filterd.nanoclust_out" connectionId="32" xr16:uid="{394CAFC5-7944-FA4C-BF7D-B5FBD4C4D053}" autoFormatId="20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QK-NBD114-96_barcode83_filterd.nanoclust_out" connectionId="43" xr16:uid="{7FC81A5C-A079-1948-AEFE-03082866110F}" autoFormatId="20" applyNumberFormats="0" applyBorderFormats="0" applyFontFormats="1" applyPatternFormats="1" applyAlignmentFormats="0" applyWidthHeightFormats="0"/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QK-NBD114-96_barcode82_filterd.nanoclust_out" connectionId="41" xr16:uid="{CB7E5331-D817-6A48-A982-E40B9C131928}" autoFormatId="20" applyNumberFormats="0" applyBorderFormats="0" applyFontFormats="1" applyPatternFormats="1" applyAlignmentFormats="0" applyWidthHeightFormats="0"/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QK-NBD114-96_barcode84_filterd.nanoclust_out" connectionId="45" xr16:uid="{D7AED728-3BFD-1D4F-AF93-2C84B63B078C}" autoFormatId="20" applyNumberFormats="0" applyBorderFormats="0" applyFontFormats="1" applyPatternFormats="1" applyAlignmentFormats="0" applyWidthHeightFormats="0"/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QK-NBD114-96_barcode81_filterd.nanoclust_out" connectionId="40" xr16:uid="{72BE291E-D174-3A4E-8B79-21A23C585C5E}" autoFormatId="20" applyNumberFormats="0" applyBorderFormats="0" applyFontFormats="1" applyPatternFormats="1" applyAlignmentFormats="0" applyWidthHeightFormats="0"/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QK-NBD114-96_barcode73_filterd.nanoclust_out" connectionId="26" xr16:uid="{9DCE94B5-6CC7-D64B-A8AD-215C7EA0E81D}" autoFormatId="20" applyNumberFormats="0" applyBorderFormats="0" applyFontFormats="1" applyPatternFormats="1" applyAlignmentFormats="0" applyWidthHeightFormats="0"/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QK-NBD114-96_barcode76_filterd.nanoclust_out" connectionId="31" xr16:uid="{28216F5F-7987-1747-8F9C-1FBD7BAAB90C}" autoFormatId="20" applyNumberFormats="0" applyBorderFormats="0" applyFontFormats="1" applyPatternFormats="1" applyAlignmentFormats="0" applyWidthHeightFormats="0"/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QK-NBD114-96_barcode79_filterd.nanoclust_out" connectionId="38" xr16:uid="{0099DD66-AFC4-4740-B80C-DDD343C967BE}" autoFormatId="20" applyNumberFormats="0" applyBorderFormats="0" applyFontFormats="1" applyPatternFormats="1" applyAlignmentFormats="0" applyWidthHeightFormats="0"/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QK-NBD114-96_barcode84_filterd.nanoclust_out" connectionId="46" xr16:uid="{D386A45A-3FA7-A846-8FCD-E183D5255B20}" autoFormatId="20" applyNumberFormats="0" applyBorderFormats="0" applyFontFormats="1" applyPatternFormats="1" applyAlignmentFormats="0" applyWidthHeightFormats="0"/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QK-NBD114-96_barcode75_filterd.nanoclust_out" connectionId="29" xr16:uid="{431441FA-ED5B-F648-B7D8-53EA6B9AF045}" autoFormatId="20" applyNumberFormats="0" applyBorderFormats="0" applyFontFormats="1" applyPatternFormats="1" applyAlignmentFormats="0" applyWidthHeightFormats="0"/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QK-NBD114-96_barcode83_filterd.nanoclust_out" connectionId="44" xr16:uid="{1E4462AA-9589-3544-9918-C98AD452087D}" autoFormatId="20" applyNumberFormats="0" applyBorderFormats="0" applyFontFormats="1" applyPatternFormats="1" applyAlignmentFormats="0" applyWidthHeightFormats="0"/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QK-NBD114-96_barcode82_filterd.nanoclust_out" connectionId="42" xr16:uid="{9EDE7D7A-8593-534D-BA2C-4C6274511777}" autoFormatId="20" applyNumberFormats="0" applyBorderFormats="0" applyFontFormats="1" applyPatternFormats="1" applyAlignmentFormats="0" applyWidthHeightFormats="0"/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QK-NBD114-96_barcode77_filterd.nanoclust_out" connectionId="33" xr16:uid="{5C77CA74-A102-0240-8079-C5B9A3D53123}" autoFormatId="20" applyNumberFormats="0" applyBorderFormats="0" applyFontFormats="1" applyPatternFormats="1" applyAlignmentFormats="0" applyWidthHeightFormats="0"/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QK-NBD114-96_barcode78_filterd.nanoclust_out" connectionId="36" xr16:uid="{C6B99707-CDC8-CA44-82A5-5B842D109D5F}" autoFormatId="20" applyNumberFormats="0" applyBorderFormats="0" applyFontFormats="1" applyPatternFormats="1" applyAlignmentFormats="0" applyWidthHeightFormats="0"/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QK_NBD114_96_barcode64_filterd.nanoclust_out_1" connectionId="24" xr16:uid="{0CD1281D-A95B-7B47-8A15-6DE37FE50FB8}" autoFormatId="20" applyNumberFormats="0" applyBorderFormats="0" applyFontFormats="1" applyPatternFormats="1" applyAlignmentFormats="0" applyWidthHeightFormats="0"/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QK_NBD114_96_barcode62_filterd.nanoclust_out_1" connectionId="20" xr16:uid="{834FD674-4B01-384E-9573-076E3F7EA98D}" autoFormatId="20" applyNumberFormats="0" applyBorderFormats="0" applyFontFormats="1" applyPatternFormats="1" applyAlignmentFormats="0" applyWidthHeightFormats="0"/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QK_NBD114_96_barcode60_filterd.nanoclust_out_1" connectionId="16" xr16:uid="{8C0EF4C8-F191-2743-AFD2-6E29B5969C30}" autoFormatId="20" applyNumberFormats="0" applyBorderFormats="0" applyFontFormats="1" applyPatternFormats="1" applyAlignmentFormats="0" applyWidthHeightFormats="0"/>
</file>

<file path=xl/queryTables/queryTable2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QK_NBD114_96_barcode08_filterd.nanoclust_out_1" connectionId="4" xr16:uid="{C63B84E5-0811-D843-B53F-D8771D19F649}" autoFormatId="20" applyNumberFormats="0" applyBorderFormats="0" applyFontFormats="1" applyPatternFormats="1" applyAlignmentFormats="0" applyWidthHeightFormats="0"/>
</file>

<file path=xl/queryTables/queryTable2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QK_NBD114_96_barcode09_filterd.nanoclust_out_1" connectionId="8" xr16:uid="{2701390B-174B-A341-9B2C-2C8C293EEB43}" autoFormatId="20" applyNumberFormats="0" applyBorderFormats="0" applyFontFormats="1" applyPatternFormats="1" applyAlignmentFormats="0" applyWidthHeightFormats="0"/>
</file>

<file path=xl/queryTables/queryTable2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QK_NBD114_96_barcode10_filterd.nanoclust_out_1" connectionId="12" xr16:uid="{26C4F78D-7AED-124D-A3C2-F6A1BBC05281}" autoFormatId="20" applyNumberFormats="0" applyBorderFormats="0" applyFontFormats="1" applyPatternFormats="1" applyAlignmentFormats="0" applyWidthHeightFormats="0"/>
</file>

<file path=xl/queryTables/queryTable3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QK_NBD114_96_barcode64_filterd.nanoclust_out_1" connectionId="21" xr16:uid="{354EA33F-3A69-814C-ACE0-7ADAF8A28434}" autoFormatId="20" applyNumberFormats="0" applyBorderFormats="0" applyFontFormats="1" applyPatternFormats="1" applyAlignmentFormats="0" applyWidthHeightFormats="0"/>
</file>

<file path=xl/queryTables/queryTable3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QK_NBD114_96_barcode10_filterd.nanoclust_out_1" connectionId="9" xr16:uid="{B833F73F-EFCA-A746-B42C-BE6DF71BC316}" autoFormatId="20" applyNumberFormats="0" applyBorderFormats="0" applyFontFormats="1" applyPatternFormats="1" applyAlignmentFormats="0" applyWidthHeightFormats="0"/>
</file>

<file path=xl/queryTables/queryTable3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QK_NBD114_96_barcode09_filterd.nanoclust_out_1" connectionId="5" xr16:uid="{85C9B4EE-43C9-2847-B153-CF1B411E0199}" autoFormatId="20" applyNumberFormats="0" applyBorderFormats="0" applyFontFormats="1" applyPatternFormats="1" applyAlignmentFormats="0" applyWidthHeightFormats="0"/>
</file>

<file path=xl/queryTables/queryTable3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QK_NBD114_96_barcode08_filterd.nanoclust_out_1" connectionId="1" xr16:uid="{C6D15763-8888-9E4B-9A6D-6E2D1939C795}" autoFormatId="20" applyNumberFormats="0" applyBorderFormats="0" applyFontFormats="1" applyPatternFormats="1" applyAlignmentFormats="0" applyWidthHeightFormats="0"/>
</file>

<file path=xl/queryTables/queryTable3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QK_NBD114_96_barcode62_filterd.nanoclust_out_1" connectionId="17" xr16:uid="{202D0A85-59CE-984C-A3A5-809F6C50D05C}" autoFormatId="20" applyNumberFormats="0" applyBorderFormats="0" applyFontFormats="1" applyPatternFormats="1" applyAlignmentFormats="0" applyWidthHeightFormats="0"/>
</file>

<file path=xl/queryTables/queryTable3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QK_NBD114_96_barcode60_filterd.nanoclust_out_1" connectionId="13" xr16:uid="{2B9D5827-0CF3-ED47-AAD8-A6926D0E7FB9}" autoFormatId="20" applyNumberFormats="0" applyBorderFormats="0" applyFontFormats="1" applyPatternFormats="1" applyAlignmentFormats="0" applyWidthHeightFormats="0"/>
</file>

<file path=xl/queryTables/queryTable3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QK_NBD114_96_barcode08_filterd.nanoclust_out_1" connectionId="3" xr16:uid="{CA88BA93-57E8-8546-9F05-AC079B8A32CC}" autoFormatId="20" applyNumberFormats="0" applyBorderFormats="0" applyFontFormats="1" applyPatternFormats="1" applyAlignmentFormats="0" applyWidthHeightFormats="0"/>
</file>

<file path=xl/queryTables/queryTable3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QK_NBD114_96_barcode62_filterd.nanoclust_out_1" connectionId="19" xr16:uid="{7E3059CA-E8C7-434F-924C-C707758F5F3E}" autoFormatId="20" applyNumberFormats="0" applyBorderFormats="0" applyFontFormats="1" applyPatternFormats="1" applyAlignmentFormats="0" applyWidthHeightFormats="0"/>
</file>

<file path=xl/queryTables/queryTable3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QK_NBD114_96_barcode60_filterd.nanoclust_out_1" connectionId="15" xr16:uid="{2C14C8CD-1772-894C-A470-74F5A73116DF}" autoFormatId="20" applyNumberFormats="0" applyBorderFormats="0" applyFontFormats="1" applyPatternFormats="1" applyAlignmentFormats="0" applyWidthHeightFormats="0"/>
</file>

<file path=xl/queryTables/queryTable3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QK_NBD114_96_barcode64_filterd.nanoclust_out_1" connectionId="23" xr16:uid="{21FDE04E-B52F-8943-990F-27C887472616}" autoFormatId="20" applyNumberFormats="0" applyBorderFormats="0" applyFontFormats="1" applyPatternFormats="1" applyAlignmentFormats="0" applyWidthHeightFormats="0"/>
</file>

<file path=xl/queryTables/queryTable4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QK_NBD114_96_barcode10_filterd.nanoclust_out_1" connectionId="11" xr16:uid="{F8DA229B-58FA-C342-B694-0617B02461F8}" autoFormatId="20" applyNumberFormats="0" applyBorderFormats="0" applyFontFormats="1" applyPatternFormats="1" applyAlignmentFormats="0" applyWidthHeightFormats="0"/>
</file>

<file path=xl/queryTables/queryTable4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QK_NBD114_96_barcode09_filterd.nanoclust_out_1" connectionId="7" xr16:uid="{73B977FA-2A27-D044-BB54-7A54D5CEA6B9}" autoFormatId="20" applyNumberFormats="0" applyBorderFormats="0" applyFontFormats="1" applyPatternFormats="1" applyAlignmentFormats="0" applyWidthHeightFormats="0"/>
</file>

<file path=xl/queryTables/queryTable4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QK_NBD114_96_barcode09_filterd.nanoclust_out_1" connectionId="6" xr16:uid="{E109F1DE-B85E-F240-BD9D-92C298374FD7}" autoFormatId="20" applyNumberFormats="0" applyBorderFormats="0" applyFontFormats="1" applyPatternFormats="1" applyAlignmentFormats="0" applyWidthHeightFormats="0"/>
</file>

<file path=xl/queryTables/queryTable4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QK_NBD114_96_barcode10_filterd.nanoclust_out_1" connectionId="10" xr16:uid="{72BFF82B-31EE-BB45-9993-463413799F58}" autoFormatId="20" applyNumberFormats="0" applyBorderFormats="0" applyFontFormats="1" applyPatternFormats="1" applyAlignmentFormats="0" applyWidthHeightFormats="0"/>
</file>

<file path=xl/queryTables/queryTable4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QK_NBD114_96_barcode64_filterd.nanoclust_out_1" connectionId="22" xr16:uid="{9BB8058A-D5D7-594D-9752-E1ABC8FCA7FC}" autoFormatId="20" applyNumberFormats="0" applyBorderFormats="0" applyFontFormats="1" applyPatternFormats="1" applyAlignmentFormats="0" applyWidthHeightFormats="0"/>
</file>

<file path=xl/queryTables/queryTable4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QK_NBD114_96_barcode60_filterd.nanoclust_out_1" connectionId="14" xr16:uid="{915AD03B-746A-A648-9973-4DE8632C168C}" autoFormatId="20" applyNumberFormats="0" applyBorderFormats="0" applyFontFormats="1" applyPatternFormats="1" applyAlignmentFormats="0" applyWidthHeightFormats="0"/>
</file>

<file path=xl/queryTables/queryTable4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QK_NBD114_96_barcode62_filterd.nanoclust_out_1" connectionId="18" xr16:uid="{2903E446-D05E-6C45-926C-A573A59AD05D}" autoFormatId="20" applyNumberFormats="0" applyBorderFormats="0" applyFontFormats="1" applyPatternFormats="1" applyAlignmentFormats="0" applyWidthHeightFormats="0"/>
</file>

<file path=xl/queryTables/queryTable4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QK_NBD114_96_barcode08_filterd.nanoclust_out_1" connectionId="2" xr16:uid="{C1671A1B-69CA-3D46-B3CD-F15CA8BDC8CD}" autoFormatId="2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8.xml"/><Relationship Id="rId13" Type="http://schemas.openxmlformats.org/officeDocument/2006/relationships/queryTable" Target="../queryTables/queryTable13.xml"/><Relationship Id="rId3" Type="http://schemas.openxmlformats.org/officeDocument/2006/relationships/queryTable" Target="../queryTables/queryTable3.xml"/><Relationship Id="rId7" Type="http://schemas.openxmlformats.org/officeDocument/2006/relationships/queryTable" Target="../queryTables/queryTable7.xml"/><Relationship Id="rId12" Type="http://schemas.openxmlformats.org/officeDocument/2006/relationships/queryTable" Target="../queryTables/queryTable12.xml"/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Relationship Id="rId6" Type="http://schemas.openxmlformats.org/officeDocument/2006/relationships/queryTable" Target="../queryTables/queryTable6.xml"/><Relationship Id="rId11" Type="http://schemas.openxmlformats.org/officeDocument/2006/relationships/queryTable" Target="../queryTables/queryTable11.xml"/><Relationship Id="rId5" Type="http://schemas.openxmlformats.org/officeDocument/2006/relationships/queryTable" Target="../queryTables/queryTable5.xml"/><Relationship Id="rId10" Type="http://schemas.openxmlformats.org/officeDocument/2006/relationships/queryTable" Target="../queryTables/queryTable10.xml"/><Relationship Id="rId4" Type="http://schemas.openxmlformats.org/officeDocument/2006/relationships/queryTable" Target="../queryTables/queryTable4.xml"/><Relationship Id="rId9" Type="http://schemas.openxmlformats.org/officeDocument/2006/relationships/queryTable" Target="../queryTables/queryTable9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21.xml"/><Relationship Id="rId3" Type="http://schemas.openxmlformats.org/officeDocument/2006/relationships/queryTable" Target="../queryTables/queryTable16.xml"/><Relationship Id="rId7" Type="http://schemas.openxmlformats.org/officeDocument/2006/relationships/queryTable" Target="../queryTables/queryTable20.xml"/><Relationship Id="rId2" Type="http://schemas.openxmlformats.org/officeDocument/2006/relationships/queryTable" Target="../queryTables/queryTable15.xml"/><Relationship Id="rId1" Type="http://schemas.openxmlformats.org/officeDocument/2006/relationships/queryTable" Target="../queryTables/queryTable14.xml"/><Relationship Id="rId6" Type="http://schemas.openxmlformats.org/officeDocument/2006/relationships/queryTable" Target="../queryTables/queryTable19.xml"/><Relationship Id="rId5" Type="http://schemas.openxmlformats.org/officeDocument/2006/relationships/queryTable" Target="../queryTables/queryTable18.xml"/><Relationship Id="rId10" Type="http://schemas.openxmlformats.org/officeDocument/2006/relationships/queryTable" Target="../queryTables/queryTable23.xml"/><Relationship Id="rId4" Type="http://schemas.openxmlformats.org/officeDocument/2006/relationships/queryTable" Target="../queryTables/queryTable17.xml"/><Relationship Id="rId9" Type="http://schemas.openxmlformats.org/officeDocument/2006/relationships/queryTable" Target="../queryTables/queryTable2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29.xml"/><Relationship Id="rId3" Type="http://schemas.openxmlformats.org/officeDocument/2006/relationships/queryTable" Target="../queryTables/queryTable24.xml"/><Relationship Id="rId7" Type="http://schemas.openxmlformats.org/officeDocument/2006/relationships/queryTable" Target="../queryTables/queryTable28.xml"/><Relationship Id="rId2" Type="http://schemas.openxmlformats.org/officeDocument/2006/relationships/hyperlink" Target="https://en.wikipedia.org/wiki/Nitrospiraceae" TargetMode="External"/><Relationship Id="rId1" Type="http://schemas.openxmlformats.org/officeDocument/2006/relationships/hyperlink" Target="https://en.wikipedia.org/wiki/Nitrospiraceae" TargetMode="External"/><Relationship Id="rId6" Type="http://schemas.openxmlformats.org/officeDocument/2006/relationships/queryTable" Target="../queryTables/queryTable27.xml"/><Relationship Id="rId5" Type="http://schemas.openxmlformats.org/officeDocument/2006/relationships/queryTable" Target="../queryTables/queryTable26.xml"/><Relationship Id="rId4" Type="http://schemas.openxmlformats.org/officeDocument/2006/relationships/queryTable" Target="../queryTables/queryTable25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32.xml"/><Relationship Id="rId3" Type="http://schemas.openxmlformats.org/officeDocument/2006/relationships/hyperlink" Target="https://lpsn.dsmz.de/genus/sulfuricaulis" TargetMode="External"/><Relationship Id="rId7" Type="http://schemas.openxmlformats.org/officeDocument/2006/relationships/queryTable" Target="../queryTables/queryTable31.xml"/><Relationship Id="rId2" Type="http://schemas.openxmlformats.org/officeDocument/2006/relationships/hyperlink" Target="https://en.wikipedia.org/wiki/Nitrospirota" TargetMode="External"/><Relationship Id="rId1" Type="http://schemas.openxmlformats.org/officeDocument/2006/relationships/hyperlink" Target="https://en.wikipedia.org/wiki/Nitrospiraceae" TargetMode="External"/><Relationship Id="rId6" Type="http://schemas.openxmlformats.org/officeDocument/2006/relationships/queryTable" Target="../queryTables/queryTable30.xml"/><Relationship Id="rId11" Type="http://schemas.openxmlformats.org/officeDocument/2006/relationships/queryTable" Target="../queryTables/queryTable35.xml"/><Relationship Id="rId5" Type="http://schemas.openxmlformats.org/officeDocument/2006/relationships/hyperlink" Target="https://en.wikipedia.org/wiki/Nitrospirota" TargetMode="External"/><Relationship Id="rId10" Type="http://schemas.openxmlformats.org/officeDocument/2006/relationships/queryTable" Target="../queryTables/queryTable34.xml"/><Relationship Id="rId4" Type="http://schemas.openxmlformats.org/officeDocument/2006/relationships/hyperlink" Target="https://en.wikipedia.org/wiki/Nitrospiraceae" TargetMode="External"/><Relationship Id="rId9" Type="http://schemas.openxmlformats.org/officeDocument/2006/relationships/queryTable" Target="../queryTables/queryTable3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8.xml"/><Relationship Id="rId2" Type="http://schemas.openxmlformats.org/officeDocument/2006/relationships/queryTable" Target="../queryTables/queryTable37.xml"/><Relationship Id="rId1" Type="http://schemas.openxmlformats.org/officeDocument/2006/relationships/queryTable" Target="../queryTables/queryTable36.xml"/><Relationship Id="rId6" Type="http://schemas.openxmlformats.org/officeDocument/2006/relationships/queryTable" Target="../queryTables/queryTable41.xml"/><Relationship Id="rId5" Type="http://schemas.openxmlformats.org/officeDocument/2006/relationships/queryTable" Target="../queryTables/queryTable40.xml"/><Relationship Id="rId4" Type="http://schemas.openxmlformats.org/officeDocument/2006/relationships/queryTable" Target="../queryTables/queryTable3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44.xml"/><Relationship Id="rId2" Type="http://schemas.openxmlformats.org/officeDocument/2006/relationships/queryTable" Target="../queryTables/queryTable43.xml"/><Relationship Id="rId1" Type="http://schemas.openxmlformats.org/officeDocument/2006/relationships/queryTable" Target="../queryTables/queryTable42.xml"/><Relationship Id="rId6" Type="http://schemas.openxmlformats.org/officeDocument/2006/relationships/queryTable" Target="../queryTables/queryTable47.xml"/><Relationship Id="rId5" Type="http://schemas.openxmlformats.org/officeDocument/2006/relationships/queryTable" Target="../queryTables/queryTable46.xml"/><Relationship Id="rId4" Type="http://schemas.openxmlformats.org/officeDocument/2006/relationships/queryTable" Target="../queryTables/queryTable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138D9-0B32-A349-BBB0-5DF3F94DF219}">
  <dimension ref="A1:G234"/>
  <sheetViews>
    <sheetView tabSelected="1" workbookViewId="0">
      <selection activeCell="C23" sqref="C23"/>
    </sheetView>
  </sheetViews>
  <sheetFormatPr baseColWidth="10" defaultColWidth="11.5703125" defaultRowHeight="20"/>
  <cols>
    <col min="1" max="1" width="10.85546875" style="1" bestFit="1" customWidth="1"/>
    <col min="2" max="2" width="18.42578125" style="1" bestFit="1" customWidth="1"/>
    <col min="3" max="3" width="15.5703125" style="1" bestFit="1" customWidth="1"/>
    <col min="4" max="4" width="15.5703125" style="1" customWidth="1"/>
    <col min="5" max="5" width="44" style="1" bestFit="1" customWidth="1"/>
    <col min="6" max="6" width="8.85546875" style="1" bestFit="1" customWidth="1"/>
    <col min="7" max="7" width="9.42578125" style="1" bestFit="1" customWidth="1"/>
  </cols>
  <sheetData>
    <row r="1" spans="1:7">
      <c r="A1" s="15" t="s">
        <v>0</v>
      </c>
      <c r="B1" s="15" t="s">
        <v>1</v>
      </c>
      <c r="C1" s="15" t="s">
        <v>2</v>
      </c>
      <c r="D1" s="15" t="s">
        <v>101</v>
      </c>
      <c r="E1" s="15" t="s">
        <v>83</v>
      </c>
      <c r="F1" s="15" t="s">
        <v>4</v>
      </c>
      <c r="G1" s="15" t="s">
        <v>5</v>
      </c>
    </row>
    <row r="2" spans="1:7">
      <c r="A2" s="2">
        <v>1</v>
      </c>
      <c r="B2" s="3" t="s">
        <v>100</v>
      </c>
      <c r="C2" s="2">
        <v>153</v>
      </c>
      <c r="D2" s="8">
        <v>5.6457564575645755E-2</v>
      </c>
      <c r="E2" s="2" t="s">
        <v>8</v>
      </c>
      <c r="F2" s="2">
        <v>1475</v>
      </c>
      <c r="G2" s="2">
        <v>97.694999999999993</v>
      </c>
    </row>
    <row r="3" spans="1:7">
      <c r="A3" s="2">
        <v>1</v>
      </c>
      <c r="B3" s="3" t="s">
        <v>7</v>
      </c>
      <c r="C3" s="2">
        <v>26</v>
      </c>
      <c r="D3" s="8">
        <v>9.5940959409594097E-3</v>
      </c>
      <c r="E3" s="2" t="s">
        <v>8</v>
      </c>
      <c r="F3" s="2">
        <v>1353</v>
      </c>
      <c r="G3" s="2">
        <v>97.338999999999999</v>
      </c>
    </row>
    <row r="4" spans="1:7">
      <c r="A4" s="2">
        <v>1</v>
      </c>
      <c r="B4" s="3" t="s">
        <v>7</v>
      </c>
      <c r="C4" s="2">
        <v>103</v>
      </c>
      <c r="D4" s="8">
        <v>3.8007380073800737E-2</v>
      </c>
      <c r="E4" s="2" t="s">
        <v>9</v>
      </c>
      <c r="F4" s="2">
        <v>1463</v>
      </c>
      <c r="G4" s="2">
        <v>98.906000000000006</v>
      </c>
    </row>
    <row r="5" spans="1:7">
      <c r="A5" s="2">
        <v>1</v>
      </c>
      <c r="B5" s="3" t="s">
        <v>7</v>
      </c>
      <c r="C5" s="2">
        <v>119</v>
      </c>
      <c r="D5" s="8">
        <v>4.3911439114391146E-2</v>
      </c>
      <c r="E5" s="2" t="s">
        <v>10</v>
      </c>
      <c r="F5" s="2">
        <v>1480</v>
      </c>
      <c r="G5" s="2">
        <v>95.945999999999998</v>
      </c>
    </row>
    <row r="6" spans="1:7">
      <c r="A6" s="2">
        <v>1</v>
      </c>
      <c r="B6" s="3" t="s">
        <v>100</v>
      </c>
      <c r="C6" s="2">
        <v>47</v>
      </c>
      <c r="D6" s="8">
        <v>1.7343173431734318E-2</v>
      </c>
      <c r="E6" s="2" t="s">
        <v>11</v>
      </c>
      <c r="F6" s="2">
        <v>1189</v>
      </c>
      <c r="G6" s="2">
        <v>78.216999999999999</v>
      </c>
    </row>
    <row r="7" spans="1:7">
      <c r="A7" s="2">
        <v>1</v>
      </c>
      <c r="B7" s="3" t="s">
        <v>7</v>
      </c>
      <c r="C7" s="2">
        <v>85</v>
      </c>
      <c r="D7" s="8">
        <v>3.136531365313653E-2</v>
      </c>
      <c r="E7" s="2" t="s">
        <v>12</v>
      </c>
      <c r="F7" s="2">
        <v>1471</v>
      </c>
      <c r="G7" s="2">
        <v>99.66</v>
      </c>
    </row>
    <row r="8" spans="1:7">
      <c r="A8" s="2">
        <v>1</v>
      </c>
      <c r="B8" s="3" t="s">
        <v>7</v>
      </c>
      <c r="C8" s="2">
        <v>31</v>
      </c>
      <c r="D8" s="8">
        <v>1.1439114391143911E-2</v>
      </c>
      <c r="E8" s="2" t="s">
        <v>13</v>
      </c>
      <c r="F8" s="2">
        <v>1285</v>
      </c>
      <c r="G8" s="2">
        <v>91.051000000000002</v>
      </c>
    </row>
    <row r="9" spans="1:7">
      <c r="A9" s="2">
        <v>1</v>
      </c>
      <c r="B9" s="3" t="s">
        <v>7</v>
      </c>
      <c r="C9" s="2">
        <v>30</v>
      </c>
      <c r="D9" s="8">
        <v>1.107011070110701E-2</v>
      </c>
      <c r="E9" s="2" t="s">
        <v>82</v>
      </c>
      <c r="F9" s="2">
        <v>1371</v>
      </c>
      <c r="G9" s="2">
        <v>89.861000000000004</v>
      </c>
    </row>
    <row r="10" spans="1:7">
      <c r="A10" s="2">
        <v>1</v>
      </c>
      <c r="B10" s="3" t="s">
        <v>7</v>
      </c>
      <c r="C10" s="2">
        <v>83</v>
      </c>
      <c r="D10" s="8">
        <v>3.0627306273062732E-2</v>
      </c>
      <c r="E10" s="2" t="s">
        <v>14</v>
      </c>
      <c r="F10" s="2">
        <v>1470</v>
      </c>
      <c r="G10" s="2">
        <v>90.543999999999997</v>
      </c>
    </row>
    <row r="11" spans="1:7">
      <c r="A11" s="2">
        <v>1</v>
      </c>
      <c r="B11" s="3" t="s">
        <v>7</v>
      </c>
      <c r="C11" s="2">
        <v>49</v>
      </c>
      <c r="D11" s="8">
        <v>1.808118081180812E-2</v>
      </c>
      <c r="E11" s="2" t="s">
        <v>15</v>
      </c>
      <c r="F11" s="2">
        <v>1299</v>
      </c>
      <c r="G11" s="2">
        <v>99.846000000000004</v>
      </c>
    </row>
    <row r="12" spans="1:7">
      <c r="A12" s="2">
        <v>1</v>
      </c>
      <c r="B12" s="3" t="s">
        <v>7</v>
      </c>
      <c r="C12" s="2">
        <v>382</v>
      </c>
      <c r="D12" s="8">
        <v>0.14095940959409595</v>
      </c>
      <c r="E12" s="2" t="s">
        <v>15</v>
      </c>
      <c r="F12" s="2">
        <v>1381</v>
      </c>
      <c r="G12" s="2">
        <v>99.927999999999997</v>
      </c>
    </row>
    <row r="13" spans="1:7">
      <c r="A13" s="2">
        <v>1</v>
      </c>
      <c r="B13" s="3" t="s">
        <v>7</v>
      </c>
      <c r="C13" s="2">
        <v>219</v>
      </c>
      <c r="D13" s="8">
        <v>8.0811808118081183E-2</v>
      </c>
      <c r="E13" s="2" t="s">
        <v>16</v>
      </c>
      <c r="F13" s="2">
        <v>1317</v>
      </c>
      <c r="G13" s="2">
        <v>96.278999999999996</v>
      </c>
    </row>
    <row r="14" spans="1:7">
      <c r="A14" s="2">
        <v>1</v>
      </c>
      <c r="B14" s="3" t="s">
        <v>7</v>
      </c>
      <c r="C14" s="2">
        <v>45</v>
      </c>
      <c r="D14" s="8">
        <v>1.6605166051660517E-2</v>
      </c>
      <c r="E14" s="2" t="s">
        <v>17</v>
      </c>
      <c r="F14" s="2">
        <v>1348</v>
      </c>
      <c r="G14" s="2">
        <v>81.082999999999998</v>
      </c>
    </row>
    <row r="15" spans="1:7">
      <c r="A15" s="2">
        <v>1</v>
      </c>
      <c r="B15" s="3" t="s">
        <v>7</v>
      </c>
      <c r="C15" s="2">
        <v>57</v>
      </c>
      <c r="D15" s="8">
        <v>2.1033210332103321E-2</v>
      </c>
      <c r="E15" s="2" t="s">
        <v>81</v>
      </c>
      <c r="F15" s="2" t="s">
        <v>81</v>
      </c>
      <c r="G15" s="2" t="s">
        <v>81</v>
      </c>
    </row>
    <row r="16" spans="1:7">
      <c r="A16" s="2">
        <v>1</v>
      </c>
      <c r="B16" s="3" t="s">
        <v>7</v>
      </c>
      <c r="C16" s="2">
        <v>53</v>
      </c>
      <c r="D16" s="8">
        <v>1.9557195571955718E-2</v>
      </c>
      <c r="E16" s="2" t="s">
        <v>8</v>
      </c>
      <c r="F16" s="2">
        <v>1378</v>
      </c>
      <c r="G16" s="2">
        <v>97.605000000000004</v>
      </c>
    </row>
    <row r="17" spans="1:7">
      <c r="A17" s="2">
        <v>1</v>
      </c>
      <c r="B17" s="3" t="s">
        <v>7</v>
      </c>
      <c r="C17" s="2">
        <v>35</v>
      </c>
      <c r="D17" s="8">
        <v>1.2915129151291513E-2</v>
      </c>
      <c r="E17" s="2" t="s">
        <v>18</v>
      </c>
      <c r="F17" s="2">
        <v>1413</v>
      </c>
      <c r="G17" s="2">
        <v>97.734999999999999</v>
      </c>
    </row>
    <row r="18" spans="1:7">
      <c r="A18" s="2">
        <v>1</v>
      </c>
      <c r="B18" s="3" t="s">
        <v>7</v>
      </c>
      <c r="C18" s="2">
        <v>560</v>
      </c>
      <c r="D18" s="8">
        <v>0.20664206642066421</v>
      </c>
      <c r="E18" s="2" t="s">
        <v>16</v>
      </c>
      <c r="F18" s="2">
        <v>1414</v>
      </c>
      <c r="G18" s="2">
        <v>96.04</v>
      </c>
    </row>
    <row r="19" spans="1:7">
      <c r="A19" s="2">
        <v>1</v>
      </c>
      <c r="B19" s="3" t="s">
        <v>7</v>
      </c>
      <c r="C19" s="2">
        <v>92</v>
      </c>
      <c r="D19" s="8">
        <v>3.3948339483394832E-2</v>
      </c>
      <c r="E19" s="2" t="s">
        <v>19</v>
      </c>
      <c r="F19" s="2">
        <v>230</v>
      </c>
      <c r="G19" s="2">
        <v>70.435000000000002</v>
      </c>
    </row>
    <row r="20" spans="1:7">
      <c r="A20" s="2">
        <v>1</v>
      </c>
      <c r="B20" s="3" t="s">
        <v>7</v>
      </c>
      <c r="C20" s="2">
        <v>155</v>
      </c>
      <c r="D20" s="8">
        <v>5.719557195571956E-2</v>
      </c>
      <c r="E20" s="2" t="s">
        <v>20</v>
      </c>
      <c r="F20" s="2">
        <v>1417</v>
      </c>
      <c r="G20" s="2">
        <v>99.718000000000004</v>
      </c>
    </row>
    <row r="21" spans="1:7">
      <c r="A21" s="2">
        <v>1</v>
      </c>
      <c r="B21" s="3" t="s">
        <v>7</v>
      </c>
      <c r="C21" s="2">
        <v>31</v>
      </c>
      <c r="D21" s="8">
        <v>1.1439114391143911E-2</v>
      </c>
      <c r="E21" s="2" t="s">
        <v>21</v>
      </c>
      <c r="F21" s="2">
        <v>1321</v>
      </c>
      <c r="G21" s="2">
        <v>86.298000000000002</v>
      </c>
    </row>
    <row r="22" spans="1:7">
      <c r="A22" s="2">
        <v>1</v>
      </c>
      <c r="B22" s="3" t="s">
        <v>7</v>
      </c>
      <c r="C22" s="2">
        <v>37</v>
      </c>
      <c r="D22" s="8">
        <v>1.3653136531365314E-2</v>
      </c>
      <c r="E22" s="2" t="s">
        <v>22</v>
      </c>
      <c r="F22" s="2">
        <v>1019</v>
      </c>
      <c r="G22" s="2">
        <v>98.528000000000006</v>
      </c>
    </row>
    <row r="23" spans="1:7">
      <c r="A23" s="2">
        <v>1</v>
      </c>
      <c r="B23" s="3" t="s">
        <v>7</v>
      </c>
      <c r="C23" s="2">
        <v>77</v>
      </c>
      <c r="D23" s="8">
        <v>2.8413284132841329E-2</v>
      </c>
      <c r="E23" s="2" t="s">
        <v>23</v>
      </c>
      <c r="F23" s="2">
        <v>1419</v>
      </c>
      <c r="G23" s="2">
        <v>96.054000000000002</v>
      </c>
    </row>
    <row r="24" spans="1:7">
      <c r="A24" s="2">
        <v>1</v>
      </c>
      <c r="B24" s="3" t="s">
        <v>7</v>
      </c>
      <c r="C24" s="2">
        <v>37</v>
      </c>
      <c r="D24" s="8">
        <v>1.3653136531365314E-2</v>
      </c>
      <c r="E24" s="2" t="s">
        <v>24</v>
      </c>
      <c r="F24" s="2">
        <v>1296</v>
      </c>
      <c r="G24" s="2">
        <v>100</v>
      </c>
    </row>
    <row r="25" spans="1:7">
      <c r="A25" s="17">
        <v>1</v>
      </c>
      <c r="B25" s="18" t="s">
        <v>7</v>
      </c>
      <c r="C25" s="17">
        <v>204</v>
      </c>
      <c r="D25" s="19">
        <v>7.5276752767527669E-2</v>
      </c>
      <c r="E25" s="17" t="s">
        <v>24</v>
      </c>
      <c r="F25" s="17">
        <v>1429</v>
      </c>
      <c r="G25" s="17">
        <v>100</v>
      </c>
    </row>
    <row r="26" spans="1:7">
      <c r="A26" s="1">
        <v>1</v>
      </c>
      <c r="B26" s="4" t="s">
        <v>25</v>
      </c>
      <c r="C26" s="1">
        <v>471</v>
      </c>
      <c r="D26" s="7">
        <v>0.19798234552332913</v>
      </c>
      <c r="E26" s="1" t="s">
        <v>84</v>
      </c>
      <c r="F26" s="1">
        <v>1505</v>
      </c>
      <c r="G26" s="1">
        <v>89.501999999999995</v>
      </c>
    </row>
    <row r="27" spans="1:7">
      <c r="A27" s="1">
        <v>1</v>
      </c>
      <c r="B27" s="4" t="s">
        <v>25</v>
      </c>
      <c r="C27" s="1">
        <v>80</v>
      </c>
      <c r="D27" s="7">
        <v>3.3627574611181169E-2</v>
      </c>
      <c r="E27" s="1" t="s">
        <v>27</v>
      </c>
      <c r="F27" s="1">
        <v>1467</v>
      </c>
      <c r="G27" s="1">
        <v>93.661000000000001</v>
      </c>
    </row>
    <row r="28" spans="1:7">
      <c r="A28" s="1">
        <v>1</v>
      </c>
      <c r="B28" s="4" t="s">
        <v>25</v>
      </c>
      <c r="C28" s="1">
        <v>69</v>
      </c>
      <c r="D28" s="7">
        <v>2.9003783102143757E-2</v>
      </c>
      <c r="E28" s="1" t="s">
        <v>82</v>
      </c>
      <c r="F28" s="1">
        <v>1359</v>
      </c>
      <c r="G28" s="1">
        <v>89.844999999999999</v>
      </c>
    </row>
    <row r="29" spans="1:7">
      <c r="A29" s="1">
        <v>1</v>
      </c>
      <c r="B29" s="4" t="s">
        <v>25</v>
      </c>
      <c r="C29" s="1">
        <v>132</v>
      </c>
      <c r="D29" s="7">
        <v>5.5485498108448932E-2</v>
      </c>
      <c r="E29" s="1" t="s">
        <v>28</v>
      </c>
      <c r="F29" s="1">
        <v>1203</v>
      </c>
      <c r="G29" s="1">
        <v>72.319000000000003</v>
      </c>
    </row>
    <row r="30" spans="1:7">
      <c r="A30" s="1">
        <v>1</v>
      </c>
      <c r="B30" s="4" t="s">
        <v>25</v>
      </c>
      <c r="C30" s="1">
        <v>28</v>
      </c>
      <c r="D30" s="7">
        <v>1.1769651113913409E-2</v>
      </c>
      <c r="E30" s="1" t="s">
        <v>28</v>
      </c>
      <c r="F30" s="1">
        <v>1203</v>
      </c>
      <c r="G30" s="1">
        <v>72.319000000000003</v>
      </c>
    </row>
    <row r="31" spans="1:7">
      <c r="A31" s="1">
        <v>1</v>
      </c>
      <c r="B31" s="4" t="s">
        <v>25</v>
      </c>
      <c r="C31" s="1">
        <v>107</v>
      </c>
      <c r="D31" s="7">
        <v>4.4976881042454814E-2</v>
      </c>
      <c r="E31" s="1" t="s">
        <v>28</v>
      </c>
      <c r="F31" s="1">
        <v>1203</v>
      </c>
      <c r="G31" s="1">
        <v>72.319000000000003</v>
      </c>
    </row>
    <row r="32" spans="1:7">
      <c r="A32" s="1">
        <v>1</v>
      </c>
      <c r="B32" s="4" t="s">
        <v>25</v>
      </c>
      <c r="C32" s="1">
        <v>329</v>
      </c>
      <c r="D32" s="7">
        <v>0.13829340058848255</v>
      </c>
      <c r="E32" s="1" t="s">
        <v>9</v>
      </c>
      <c r="F32" s="1">
        <v>1467</v>
      </c>
      <c r="G32" s="1">
        <v>98.909000000000006</v>
      </c>
    </row>
    <row r="33" spans="1:7">
      <c r="A33" s="1">
        <v>1</v>
      </c>
      <c r="B33" s="4" t="s">
        <v>25</v>
      </c>
      <c r="C33" s="1">
        <v>61</v>
      </c>
      <c r="D33" s="7">
        <v>2.564102564102564E-2</v>
      </c>
      <c r="E33" s="1" t="s">
        <v>24</v>
      </c>
      <c r="F33" s="1">
        <v>1422</v>
      </c>
      <c r="G33" s="1">
        <v>100</v>
      </c>
    </row>
    <row r="34" spans="1:7">
      <c r="A34" s="1">
        <v>1</v>
      </c>
      <c r="B34" s="4" t="s">
        <v>25</v>
      </c>
      <c r="C34" s="1">
        <v>63</v>
      </c>
      <c r="D34" s="7">
        <v>2.6481715006305171E-2</v>
      </c>
      <c r="E34" s="1" t="s">
        <v>29</v>
      </c>
      <c r="F34" s="1">
        <v>1459</v>
      </c>
      <c r="G34" s="1">
        <v>94.037000000000006</v>
      </c>
    </row>
    <row r="35" spans="1:7">
      <c r="A35" s="1">
        <v>1</v>
      </c>
      <c r="B35" s="4" t="s">
        <v>25</v>
      </c>
      <c r="C35" s="1">
        <v>316</v>
      </c>
      <c r="D35" s="7">
        <v>0.13282891971416561</v>
      </c>
      <c r="E35" s="1" t="s">
        <v>30</v>
      </c>
      <c r="F35" s="1">
        <v>1472</v>
      </c>
      <c r="G35" s="1">
        <v>96.06</v>
      </c>
    </row>
    <row r="36" spans="1:7">
      <c r="A36" s="1">
        <v>1</v>
      </c>
      <c r="B36" s="4" t="s">
        <v>25</v>
      </c>
      <c r="C36" s="1">
        <v>61</v>
      </c>
      <c r="D36" s="7">
        <v>2.564102564102564E-2</v>
      </c>
      <c r="E36" s="1" t="s">
        <v>31</v>
      </c>
      <c r="F36" s="1">
        <v>1432</v>
      </c>
      <c r="G36" s="1">
        <v>84.287999999999997</v>
      </c>
    </row>
    <row r="37" spans="1:7">
      <c r="A37" s="1">
        <v>1</v>
      </c>
      <c r="B37" s="4" t="s">
        <v>25</v>
      </c>
      <c r="C37" s="1">
        <v>558</v>
      </c>
      <c r="D37" s="7">
        <v>0.23455233291298866</v>
      </c>
      <c r="E37" s="1" t="s">
        <v>18</v>
      </c>
      <c r="F37" s="1">
        <v>1487</v>
      </c>
      <c r="G37" s="1">
        <v>97.646000000000001</v>
      </c>
    </row>
    <row r="38" spans="1:7">
      <c r="A38" s="1">
        <v>1</v>
      </c>
      <c r="B38" s="4" t="s">
        <v>25</v>
      </c>
      <c r="C38" s="1">
        <v>59</v>
      </c>
      <c r="D38" s="7">
        <v>2.4800336275746113E-2</v>
      </c>
      <c r="E38" s="1" t="s">
        <v>32</v>
      </c>
      <c r="F38" s="1">
        <v>1417</v>
      </c>
      <c r="G38" s="1">
        <v>99.858999999999995</v>
      </c>
    </row>
    <row r="39" spans="1:7">
      <c r="A39" s="13">
        <v>1</v>
      </c>
      <c r="B39" s="20" t="s">
        <v>25</v>
      </c>
      <c r="C39" s="13">
        <v>45</v>
      </c>
      <c r="D39" s="21">
        <v>1.8915510718789406E-2</v>
      </c>
      <c r="E39" s="13" t="s">
        <v>16</v>
      </c>
      <c r="F39" s="13">
        <v>1414</v>
      </c>
      <c r="G39" s="13">
        <v>96.04</v>
      </c>
    </row>
    <row r="40" spans="1:7">
      <c r="A40" s="22">
        <v>1</v>
      </c>
      <c r="B40" s="23" t="s">
        <v>33</v>
      </c>
      <c r="C40" s="22">
        <v>31</v>
      </c>
      <c r="D40" s="24">
        <v>1.3531209079004802E-2</v>
      </c>
      <c r="E40" s="22" t="s">
        <v>82</v>
      </c>
      <c r="F40" s="22">
        <v>1371</v>
      </c>
      <c r="G40" s="22">
        <v>89.861000000000004</v>
      </c>
    </row>
    <row r="41" spans="1:7">
      <c r="A41" s="2">
        <v>1</v>
      </c>
      <c r="B41" s="3" t="s">
        <v>33</v>
      </c>
      <c r="C41" s="2">
        <v>33</v>
      </c>
      <c r="D41" s="8">
        <v>1.4404190309908338E-2</v>
      </c>
      <c r="E41" s="2" t="s">
        <v>34</v>
      </c>
      <c r="F41" s="2">
        <v>1272</v>
      </c>
      <c r="G41" s="2">
        <v>99.45</v>
      </c>
    </row>
    <row r="42" spans="1:7">
      <c r="A42" s="2">
        <v>1</v>
      </c>
      <c r="B42" s="3" t="s">
        <v>33</v>
      </c>
      <c r="C42" s="2">
        <v>242</v>
      </c>
      <c r="D42" s="8">
        <v>0.1056307289393278</v>
      </c>
      <c r="E42" s="2" t="s">
        <v>30</v>
      </c>
      <c r="F42" s="2">
        <v>1471</v>
      </c>
      <c r="G42" s="2">
        <v>96.125</v>
      </c>
    </row>
    <row r="43" spans="1:7">
      <c r="A43" s="2">
        <v>1</v>
      </c>
      <c r="B43" s="3" t="s">
        <v>33</v>
      </c>
      <c r="C43" s="2">
        <v>48</v>
      </c>
      <c r="D43" s="8">
        <v>2.0951549541684853E-2</v>
      </c>
      <c r="E43" s="2" t="s">
        <v>20</v>
      </c>
      <c r="F43" s="2">
        <v>1427</v>
      </c>
      <c r="G43" s="2">
        <v>99.72</v>
      </c>
    </row>
    <row r="44" spans="1:7">
      <c r="A44" s="2">
        <v>1</v>
      </c>
      <c r="B44" s="3" t="s">
        <v>33</v>
      </c>
      <c r="C44" s="2">
        <v>141</v>
      </c>
      <c r="D44" s="8">
        <v>6.1545176778699258E-2</v>
      </c>
      <c r="E44" s="2" t="s">
        <v>28</v>
      </c>
      <c r="F44" s="2">
        <v>1203</v>
      </c>
      <c r="G44" s="2">
        <v>72.319000000000003</v>
      </c>
    </row>
    <row r="45" spans="1:7">
      <c r="A45" s="2">
        <v>1</v>
      </c>
      <c r="B45" s="3" t="s">
        <v>33</v>
      </c>
      <c r="C45" s="2">
        <v>34</v>
      </c>
      <c r="D45" s="8">
        <v>1.4840680925360105E-2</v>
      </c>
      <c r="E45" s="2" t="s">
        <v>28</v>
      </c>
      <c r="F45" s="2">
        <v>1203</v>
      </c>
      <c r="G45" s="2">
        <v>72.319000000000003</v>
      </c>
    </row>
    <row r="46" spans="1:7">
      <c r="A46" s="2">
        <v>1</v>
      </c>
      <c r="B46" s="3" t="s">
        <v>33</v>
      </c>
      <c r="C46" s="2">
        <v>121</v>
      </c>
      <c r="D46" s="8">
        <v>5.2815364469663902E-2</v>
      </c>
      <c r="E46" s="2" t="s">
        <v>34</v>
      </c>
      <c r="F46" s="2">
        <v>1420</v>
      </c>
      <c r="G46" s="2">
        <v>99.576999999999998</v>
      </c>
    </row>
    <row r="47" spans="1:7">
      <c r="A47" s="2">
        <v>1</v>
      </c>
      <c r="B47" s="3" t="s">
        <v>33</v>
      </c>
      <c r="C47" s="2">
        <v>101</v>
      </c>
      <c r="D47" s="8">
        <v>4.4085552160628545E-2</v>
      </c>
      <c r="E47" s="2" t="s">
        <v>16</v>
      </c>
      <c r="F47" s="2">
        <v>1416</v>
      </c>
      <c r="G47" s="2">
        <v>96.045000000000002</v>
      </c>
    </row>
    <row r="48" spans="1:7">
      <c r="A48" s="2">
        <v>1</v>
      </c>
      <c r="B48" s="3" t="s">
        <v>33</v>
      </c>
      <c r="C48" s="2">
        <v>64</v>
      </c>
      <c r="D48" s="8">
        <v>2.7935399388913137E-2</v>
      </c>
      <c r="E48" s="2" t="s">
        <v>35</v>
      </c>
      <c r="F48" s="2">
        <v>297</v>
      </c>
      <c r="G48" s="2">
        <v>76.093999999999994</v>
      </c>
    </row>
    <row r="49" spans="1:7">
      <c r="A49" s="2">
        <v>1</v>
      </c>
      <c r="B49" s="3" t="s">
        <v>33</v>
      </c>
      <c r="C49" s="2">
        <v>35</v>
      </c>
      <c r="D49" s="8">
        <v>1.5277171540811872E-2</v>
      </c>
      <c r="E49" s="2" t="s">
        <v>23</v>
      </c>
      <c r="F49" s="2">
        <v>1422</v>
      </c>
      <c r="G49" s="2">
        <v>96.061999999999998</v>
      </c>
    </row>
    <row r="50" spans="1:7">
      <c r="A50" s="2">
        <v>1</v>
      </c>
      <c r="B50" s="3" t="s">
        <v>33</v>
      </c>
      <c r="C50" s="2">
        <v>313</v>
      </c>
      <c r="D50" s="8">
        <v>0.13662156263640332</v>
      </c>
      <c r="E50" s="2" t="s">
        <v>18</v>
      </c>
      <c r="F50" s="2">
        <v>1480</v>
      </c>
      <c r="G50" s="2">
        <v>97.635000000000005</v>
      </c>
    </row>
    <row r="51" spans="1:7">
      <c r="A51" s="2">
        <v>1</v>
      </c>
      <c r="B51" s="3" t="s">
        <v>33</v>
      </c>
      <c r="C51" s="2">
        <v>143</v>
      </c>
      <c r="D51" s="8">
        <v>6.2418158009602792E-2</v>
      </c>
      <c r="E51" s="2" t="s">
        <v>15</v>
      </c>
      <c r="F51" s="2">
        <v>1381</v>
      </c>
      <c r="G51" s="2">
        <v>99.927999999999997</v>
      </c>
    </row>
    <row r="52" spans="1:7">
      <c r="A52" s="2">
        <v>1</v>
      </c>
      <c r="B52" s="3" t="s">
        <v>33</v>
      </c>
      <c r="C52" s="2">
        <v>381</v>
      </c>
      <c r="D52" s="8">
        <v>0.16630292448712353</v>
      </c>
      <c r="E52" s="2" t="s">
        <v>9</v>
      </c>
      <c r="F52" s="2">
        <v>1465</v>
      </c>
      <c r="G52" s="2">
        <v>98.908000000000001</v>
      </c>
    </row>
    <row r="53" spans="1:7">
      <c r="A53" s="2">
        <v>1</v>
      </c>
      <c r="B53" s="3" t="s">
        <v>33</v>
      </c>
      <c r="C53" s="2">
        <v>41</v>
      </c>
      <c r="D53" s="8">
        <v>1.789611523352248E-2</v>
      </c>
      <c r="E53" s="2" t="s">
        <v>16</v>
      </c>
      <c r="F53" s="2">
        <v>1308</v>
      </c>
      <c r="G53" s="2">
        <v>96.254000000000005</v>
      </c>
    </row>
    <row r="54" spans="1:7">
      <c r="A54" s="2">
        <v>1</v>
      </c>
      <c r="B54" s="3" t="s">
        <v>33</v>
      </c>
      <c r="C54" s="2">
        <v>27</v>
      </c>
      <c r="D54" s="8">
        <v>1.178524661719773E-2</v>
      </c>
      <c r="E54" s="2" t="s">
        <v>29</v>
      </c>
      <c r="F54" s="2">
        <v>1341</v>
      </c>
      <c r="G54" s="2">
        <v>94.332999999999998</v>
      </c>
    </row>
    <row r="55" spans="1:7">
      <c r="A55" s="2">
        <v>1</v>
      </c>
      <c r="B55" s="3" t="s">
        <v>33</v>
      </c>
      <c r="C55" s="2">
        <v>182</v>
      </c>
      <c r="D55" s="8">
        <v>7.9441292012221734E-2</v>
      </c>
      <c r="E55" s="2" t="s">
        <v>9</v>
      </c>
      <c r="F55" s="2">
        <v>1458</v>
      </c>
      <c r="G55" s="2">
        <v>98.834000000000003</v>
      </c>
    </row>
    <row r="56" spans="1:7">
      <c r="A56" s="2">
        <v>1</v>
      </c>
      <c r="B56" s="3" t="s">
        <v>33</v>
      </c>
      <c r="C56" s="2">
        <v>39</v>
      </c>
      <c r="D56" s="8">
        <v>1.7023134002618942E-2</v>
      </c>
      <c r="E56" s="2" t="s">
        <v>36</v>
      </c>
      <c r="F56" s="2">
        <v>1233</v>
      </c>
      <c r="G56" s="2">
        <v>100</v>
      </c>
    </row>
    <row r="57" spans="1:7">
      <c r="A57" s="2">
        <v>1</v>
      </c>
      <c r="B57" s="3" t="s">
        <v>33</v>
      </c>
      <c r="C57" s="2">
        <v>240</v>
      </c>
      <c r="D57" s="8">
        <v>0.10475774770842426</v>
      </c>
      <c r="E57" s="2" t="s">
        <v>24</v>
      </c>
      <c r="F57" s="2">
        <v>1420</v>
      </c>
      <c r="G57" s="2">
        <v>100</v>
      </c>
    </row>
    <row r="58" spans="1:7">
      <c r="A58" s="17">
        <v>1</v>
      </c>
      <c r="B58" s="18" t="s">
        <v>33</v>
      </c>
      <c r="C58" s="17">
        <v>75</v>
      </c>
      <c r="D58" s="19">
        <v>3.2736796158882586E-2</v>
      </c>
      <c r="E58" s="17" t="s">
        <v>21</v>
      </c>
      <c r="F58" s="17">
        <v>1327</v>
      </c>
      <c r="G58" s="17">
        <v>86.36</v>
      </c>
    </row>
    <row r="59" spans="1:7">
      <c r="A59" s="1">
        <v>1</v>
      </c>
      <c r="B59" s="4" t="s">
        <v>37</v>
      </c>
      <c r="C59" s="1">
        <v>40</v>
      </c>
      <c r="D59" s="7">
        <v>1.7028522775649212E-2</v>
      </c>
      <c r="E59" s="1" t="s">
        <v>15</v>
      </c>
      <c r="F59" s="1">
        <v>1281</v>
      </c>
      <c r="G59" s="1">
        <v>99.921999999999997</v>
      </c>
    </row>
    <row r="60" spans="1:7">
      <c r="A60" s="1">
        <v>1</v>
      </c>
      <c r="B60" s="4" t="s">
        <v>37</v>
      </c>
      <c r="C60" s="1">
        <v>29</v>
      </c>
      <c r="D60" s="7">
        <v>1.2345679012345678E-2</v>
      </c>
      <c r="E60" s="1" t="s">
        <v>21</v>
      </c>
      <c r="F60" s="1">
        <v>1312</v>
      </c>
      <c r="G60" s="1">
        <v>86.203999999999994</v>
      </c>
    </row>
    <row r="61" spans="1:7">
      <c r="A61" s="1">
        <v>1</v>
      </c>
      <c r="B61" s="4" t="s">
        <v>38</v>
      </c>
      <c r="C61" s="1">
        <v>137</v>
      </c>
      <c r="D61" s="7">
        <v>5.8322690506598551E-2</v>
      </c>
      <c r="E61" s="1" t="s">
        <v>23</v>
      </c>
      <c r="F61" s="1">
        <v>1424</v>
      </c>
      <c r="G61" s="1">
        <v>96.066999999999993</v>
      </c>
    </row>
    <row r="62" spans="1:7">
      <c r="A62" s="1">
        <v>1</v>
      </c>
      <c r="B62" s="4" t="s">
        <v>38</v>
      </c>
      <c r="C62" s="1">
        <v>262</v>
      </c>
      <c r="D62" s="7">
        <v>0.11153682418050234</v>
      </c>
      <c r="E62" s="1" t="s">
        <v>15</v>
      </c>
      <c r="F62" s="1">
        <v>1381</v>
      </c>
      <c r="G62" s="1">
        <v>99.927999999999997</v>
      </c>
    </row>
    <row r="63" spans="1:7">
      <c r="A63" s="1">
        <v>1</v>
      </c>
      <c r="B63" s="4" t="s">
        <v>38</v>
      </c>
      <c r="C63" s="1">
        <v>47</v>
      </c>
      <c r="D63" s="7">
        <v>2.0008514261387826E-2</v>
      </c>
      <c r="E63" s="1" t="s">
        <v>39</v>
      </c>
      <c r="F63" s="1">
        <v>1333</v>
      </c>
      <c r="G63" s="1">
        <v>86.947000000000003</v>
      </c>
    </row>
    <row r="64" spans="1:7">
      <c r="A64" s="1">
        <v>1</v>
      </c>
      <c r="B64" s="4" t="s">
        <v>38</v>
      </c>
      <c r="C64" s="1">
        <v>46</v>
      </c>
      <c r="D64" s="7">
        <v>1.9582801191996593E-2</v>
      </c>
      <c r="E64" s="1" t="s">
        <v>40</v>
      </c>
      <c r="F64" s="1">
        <v>1361</v>
      </c>
      <c r="G64" s="1">
        <v>97.869</v>
      </c>
    </row>
    <row r="65" spans="1:7">
      <c r="A65" s="1">
        <v>1</v>
      </c>
      <c r="B65" s="4" t="s">
        <v>38</v>
      </c>
      <c r="C65" s="1">
        <v>552</v>
      </c>
      <c r="D65" s="7">
        <v>0.23499361430395913</v>
      </c>
      <c r="E65" s="1" t="s">
        <v>16</v>
      </c>
      <c r="F65" s="1">
        <v>1414</v>
      </c>
      <c r="G65" s="1">
        <v>96.04</v>
      </c>
    </row>
    <row r="66" spans="1:7">
      <c r="A66" s="1">
        <v>1</v>
      </c>
      <c r="B66" s="4" t="s">
        <v>38</v>
      </c>
      <c r="C66" s="1">
        <v>56</v>
      </c>
      <c r="D66" s="7">
        <v>2.3839931885908897E-2</v>
      </c>
      <c r="E66" s="1" t="s">
        <v>41</v>
      </c>
      <c r="F66" s="1">
        <v>1422</v>
      </c>
      <c r="G66" s="1">
        <v>99.156000000000006</v>
      </c>
    </row>
    <row r="67" spans="1:7">
      <c r="A67" s="1">
        <v>1</v>
      </c>
      <c r="B67" s="4" t="s">
        <v>38</v>
      </c>
      <c r="C67" s="1">
        <v>91</v>
      </c>
      <c r="D67" s="7">
        <v>3.8739889314601955E-2</v>
      </c>
      <c r="E67" s="1" t="s">
        <v>34</v>
      </c>
      <c r="F67" s="1">
        <v>1426</v>
      </c>
      <c r="G67" s="1">
        <v>99.578999999999994</v>
      </c>
    </row>
    <row r="68" spans="1:7">
      <c r="A68" s="1">
        <v>1</v>
      </c>
      <c r="B68" s="4" t="s">
        <v>38</v>
      </c>
      <c r="C68" s="1">
        <v>32</v>
      </c>
      <c r="D68" s="7">
        <v>1.362281822051937E-2</v>
      </c>
      <c r="E68" s="1" t="s">
        <v>42</v>
      </c>
      <c r="F68" s="1">
        <v>1370</v>
      </c>
      <c r="G68" s="1">
        <v>99.781000000000006</v>
      </c>
    </row>
    <row r="69" spans="1:7">
      <c r="A69" s="1">
        <v>1</v>
      </c>
      <c r="B69" s="4" t="s">
        <v>38</v>
      </c>
      <c r="C69" s="1">
        <v>28</v>
      </c>
      <c r="D69" s="7">
        <v>1.1919965942954448E-2</v>
      </c>
      <c r="E69" s="1" t="s">
        <v>13</v>
      </c>
      <c r="F69" s="1">
        <v>1418</v>
      </c>
      <c r="G69" s="1">
        <v>88.433999999999997</v>
      </c>
    </row>
    <row r="70" spans="1:7">
      <c r="A70" s="1">
        <v>1</v>
      </c>
      <c r="B70" s="4" t="s">
        <v>38</v>
      </c>
      <c r="C70" s="1">
        <v>80</v>
      </c>
      <c r="D70" s="7">
        <v>3.4057045551298425E-2</v>
      </c>
      <c r="E70" s="1" t="s">
        <v>18</v>
      </c>
      <c r="F70" s="1">
        <v>1480</v>
      </c>
      <c r="G70" s="1">
        <v>97.635000000000005</v>
      </c>
    </row>
    <row r="71" spans="1:7">
      <c r="A71" s="1">
        <v>1</v>
      </c>
      <c r="B71" s="4" t="s">
        <v>38</v>
      </c>
      <c r="C71" s="1">
        <v>48</v>
      </c>
      <c r="D71" s="7">
        <v>2.0434227330779056E-2</v>
      </c>
      <c r="E71" s="1" t="s">
        <v>20</v>
      </c>
      <c r="F71" s="1">
        <v>1323</v>
      </c>
      <c r="G71" s="1">
        <v>99.849000000000004</v>
      </c>
    </row>
    <row r="72" spans="1:7">
      <c r="A72" s="1">
        <v>1</v>
      </c>
      <c r="B72" s="4" t="s">
        <v>38</v>
      </c>
      <c r="C72" s="1">
        <v>74</v>
      </c>
      <c r="D72" s="7">
        <v>3.1502767134951044E-2</v>
      </c>
      <c r="E72" s="1" t="s">
        <v>81</v>
      </c>
      <c r="F72" s="1" t="s">
        <v>81</v>
      </c>
      <c r="G72" s="1" t="s">
        <v>81</v>
      </c>
    </row>
    <row r="73" spans="1:7">
      <c r="A73" s="1">
        <v>1</v>
      </c>
      <c r="B73" s="4" t="s">
        <v>38</v>
      </c>
      <c r="C73" s="1">
        <v>30</v>
      </c>
      <c r="D73" s="7">
        <v>1.277139208173691E-2</v>
      </c>
      <c r="E73" s="1" t="s">
        <v>34</v>
      </c>
      <c r="F73" s="1">
        <v>1296</v>
      </c>
      <c r="G73" s="1">
        <v>99.769000000000005</v>
      </c>
    </row>
    <row r="74" spans="1:7">
      <c r="A74" s="1">
        <v>1</v>
      </c>
      <c r="B74" s="4" t="s">
        <v>38</v>
      </c>
      <c r="C74" s="1">
        <v>43</v>
      </c>
      <c r="D74" s="7">
        <v>1.8305661983822902E-2</v>
      </c>
      <c r="E74" s="1" t="s">
        <v>85</v>
      </c>
      <c r="F74" s="1">
        <v>1430</v>
      </c>
      <c r="G74" s="1">
        <v>90</v>
      </c>
    </row>
    <row r="75" spans="1:7">
      <c r="A75" s="1">
        <v>1</v>
      </c>
      <c r="B75" s="4" t="s">
        <v>38</v>
      </c>
      <c r="C75" s="1">
        <v>114</v>
      </c>
      <c r="D75" s="7">
        <v>4.8531289910600253E-2</v>
      </c>
      <c r="E75" s="1" t="s">
        <v>20</v>
      </c>
      <c r="F75" s="1">
        <v>1429</v>
      </c>
      <c r="G75" s="1">
        <v>99.72</v>
      </c>
    </row>
    <row r="76" spans="1:7">
      <c r="A76" s="1">
        <v>1</v>
      </c>
      <c r="B76" s="4" t="s">
        <v>38</v>
      </c>
      <c r="C76" s="1">
        <v>59</v>
      </c>
      <c r="D76" s="7">
        <v>2.5117071094082587E-2</v>
      </c>
      <c r="E76" s="1" t="s">
        <v>24</v>
      </c>
      <c r="F76" s="1">
        <v>1339</v>
      </c>
      <c r="G76" s="1">
        <v>99.850999999999999</v>
      </c>
    </row>
    <row r="77" spans="1:7">
      <c r="A77" s="1">
        <v>1</v>
      </c>
      <c r="B77" s="4" t="s">
        <v>38</v>
      </c>
      <c r="C77" s="1">
        <v>44</v>
      </c>
      <c r="D77" s="7">
        <v>1.8731375053214133E-2</v>
      </c>
      <c r="E77" s="1" t="s">
        <v>43</v>
      </c>
      <c r="F77" s="1">
        <v>1419</v>
      </c>
      <c r="G77" s="1">
        <v>99.93</v>
      </c>
    </row>
    <row r="78" spans="1:7">
      <c r="A78" s="1">
        <v>1</v>
      </c>
      <c r="B78" s="4" t="s">
        <v>38</v>
      </c>
      <c r="C78" s="1">
        <v>65</v>
      </c>
      <c r="D78" s="7">
        <v>2.767134951042997E-2</v>
      </c>
      <c r="E78" s="1" t="s">
        <v>14</v>
      </c>
      <c r="F78" s="1">
        <v>1465</v>
      </c>
      <c r="G78" s="1">
        <v>90.307000000000002</v>
      </c>
    </row>
    <row r="79" spans="1:7">
      <c r="A79" s="1">
        <v>1</v>
      </c>
      <c r="B79" s="4" t="s">
        <v>38</v>
      </c>
      <c r="C79" s="1">
        <v>239</v>
      </c>
      <c r="D79" s="7">
        <v>0.10174542358450404</v>
      </c>
      <c r="E79" s="1" t="s">
        <v>24</v>
      </c>
      <c r="F79" s="1">
        <v>1429</v>
      </c>
      <c r="G79" s="1">
        <v>100</v>
      </c>
    </row>
    <row r="80" spans="1:7">
      <c r="A80" s="1">
        <v>1</v>
      </c>
      <c r="B80" s="4" t="s">
        <v>38</v>
      </c>
      <c r="C80" s="1">
        <v>178</v>
      </c>
      <c r="D80" s="7">
        <v>7.577692635163899E-2</v>
      </c>
      <c r="E80" s="1" t="s">
        <v>16</v>
      </c>
      <c r="F80" s="1">
        <v>1317</v>
      </c>
      <c r="G80" s="1">
        <v>96.278999999999996</v>
      </c>
    </row>
    <row r="81" spans="1:7">
      <c r="A81" s="13">
        <v>1</v>
      </c>
      <c r="B81" s="20" t="s">
        <v>38</v>
      </c>
      <c r="C81" s="13">
        <v>55</v>
      </c>
      <c r="D81" s="21">
        <v>2.3414218816517667E-2</v>
      </c>
      <c r="E81" s="13" t="s">
        <v>23</v>
      </c>
      <c r="F81" s="13">
        <v>1319</v>
      </c>
      <c r="G81" s="13">
        <v>96.209000000000003</v>
      </c>
    </row>
    <row r="82" spans="1:7">
      <c r="A82" s="22">
        <v>2</v>
      </c>
      <c r="B82" s="23" t="s">
        <v>7</v>
      </c>
      <c r="C82" s="22">
        <v>144</v>
      </c>
      <c r="D82" s="24">
        <v>0.20055710306406685</v>
      </c>
      <c r="E82" s="22" t="s">
        <v>23</v>
      </c>
      <c r="F82" s="22">
        <v>1424</v>
      </c>
      <c r="G82" s="22">
        <v>96.066999999999993</v>
      </c>
    </row>
    <row r="83" spans="1:7">
      <c r="A83" s="2">
        <v>2</v>
      </c>
      <c r="B83" s="3" t="s">
        <v>7</v>
      </c>
      <c r="C83" s="2">
        <v>39</v>
      </c>
      <c r="D83" s="8">
        <v>5.4317548746518104E-2</v>
      </c>
      <c r="E83" s="2" t="s">
        <v>24</v>
      </c>
      <c r="F83" s="2">
        <v>1408</v>
      </c>
      <c r="G83" s="2">
        <v>100</v>
      </c>
    </row>
    <row r="84" spans="1:7">
      <c r="A84" s="2">
        <v>2</v>
      </c>
      <c r="B84" s="3" t="s">
        <v>7</v>
      </c>
      <c r="C84" s="2">
        <v>39</v>
      </c>
      <c r="D84" s="8">
        <v>5.4317548746518104E-2</v>
      </c>
      <c r="E84" s="2" t="s">
        <v>21</v>
      </c>
      <c r="F84" s="2">
        <v>1306</v>
      </c>
      <c r="G84" s="2">
        <v>86.216999999999999</v>
      </c>
    </row>
    <row r="85" spans="1:7">
      <c r="A85" s="2">
        <v>2</v>
      </c>
      <c r="B85" s="3" t="s">
        <v>7</v>
      </c>
      <c r="C85" s="2">
        <v>40</v>
      </c>
      <c r="D85" s="8">
        <v>5.5710306406685235E-2</v>
      </c>
      <c r="E85" s="2" t="s">
        <v>44</v>
      </c>
      <c r="F85" s="2">
        <v>1426</v>
      </c>
      <c r="G85" s="2">
        <v>96.072999999999993</v>
      </c>
    </row>
    <row r="86" spans="1:7">
      <c r="A86" s="2">
        <v>2</v>
      </c>
      <c r="B86" s="3" t="s">
        <v>7</v>
      </c>
      <c r="C86" s="2">
        <v>86</v>
      </c>
      <c r="D86" s="8">
        <v>0.11977715877437325</v>
      </c>
      <c r="E86" s="2" t="s">
        <v>45</v>
      </c>
      <c r="F86" s="2">
        <v>1449</v>
      </c>
      <c r="G86" s="2">
        <v>93.168000000000006</v>
      </c>
    </row>
    <row r="87" spans="1:7">
      <c r="A87" s="2">
        <v>2</v>
      </c>
      <c r="B87" s="3" t="s">
        <v>7</v>
      </c>
      <c r="C87" s="2">
        <v>31</v>
      </c>
      <c r="D87" s="8">
        <v>4.3175487465181059E-2</v>
      </c>
      <c r="E87" s="2" t="s">
        <v>29</v>
      </c>
      <c r="F87" s="2">
        <v>1372</v>
      </c>
      <c r="G87" s="2">
        <v>95.991</v>
      </c>
    </row>
    <row r="88" spans="1:7">
      <c r="A88" s="2">
        <v>2</v>
      </c>
      <c r="B88" s="3" t="s">
        <v>7</v>
      </c>
      <c r="C88" s="2">
        <v>83</v>
      </c>
      <c r="D88" s="8">
        <v>0.11559888579387187</v>
      </c>
      <c r="E88" s="2" t="s">
        <v>81</v>
      </c>
      <c r="F88" s="2" t="s">
        <v>81</v>
      </c>
      <c r="G88" s="2" t="s">
        <v>81</v>
      </c>
    </row>
    <row r="89" spans="1:7">
      <c r="A89" s="2">
        <v>2</v>
      </c>
      <c r="B89" s="3" t="s">
        <v>7</v>
      </c>
      <c r="C89" s="2">
        <v>29</v>
      </c>
      <c r="D89" s="8">
        <v>4.0389972144846797E-2</v>
      </c>
      <c r="E89" s="2" t="s">
        <v>46</v>
      </c>
      <c r="F89" s="2">
        <v>1374</v>
      </c>
      <c r="G89" s="2">
        <v>89.591999999999999</v>
      </c>
    </row>
    <row r="90" spans="1:7">
      <c r="A90" s="2">
        <v>2</v>
      </c>
      <c r="B90" s="3" t="s">
        <v>7</v>
      </c>
      <c r="C90" s="2">
        <v>80</v>
      </c>
      <c r="D90" s="8">
        <v>0.11142061281337047</v>
      </c>
      <c r="E90" s="2" t="s">
        <v>9</v>
      </c>
      <c r="F90" s="2">
        <v>1467</v>
      </c>
      <c r="G90" s="2">
        <v>98.909000000000006</v>
      </c>
    </row>
    <row r="91" spans="1:7">
      <c r="A91" s="2">
        <v>2</v>
      </c>
      <c r="B91" s="3" t="s">
        <v>7</v>
      </c>
      <c r="C91" s="2">
        <v>30</v>
      </c>
      <c r="D91" s="8">
        <v>4.1782729805013928E-2</v>
      </c>
      <c r="E91" s="2" t="s">
        <v>47</v>
      </c>
      <c r="F91" s="2">
        <v>1466</v>
      </c>
      <c r="G91" s="2">
        <v>99.864000000000004</v>
      </c>
    </row>
    <row r="92" spans="1:7">
      <c r="A92" s="2">
        <v>2</v>
      </c>
      <c r="B92" s="3" t="s">
        <v>7</v>
      </c>
      <c r="C92" s="2">
        <v>82</v>
      </c>
      <c r="D92" s="8">
        <v>0.11420612813370473</v>
      </c>
      <c r="E92" s="2" t="s">
        <v>28</v>
      </c>
      <c r="F92" s="2">
        <v>1203</v>
      </c>
      <c r="G92" s="2">
        <v>72.319000000000003</v>
      </c>
    </row>
    <row r="93" spans="1:7">
      <c r="A93" s="17">
        <v>2</v>
      </c>
      <c r="B93" s="18" t="s">
        <v>7</v>
      </c>
      <c r="C93" s="17">
        <v>35</v>
      </c>
      <c r="D93" s="19">
        <v>4.8746518105849582E-2</v>
      </c>
      <c r="E93" s="17" t="s">
        <v>85</v>
      </c>
      <c r="F93" s="17">
        <v>1326</v>
      </c>
      <c r="G93" s="17">
        <v>89.894000000000005</v>
      </c>
    </row>
    <row r="94" spans="1:7">
      <c r="A94" s="1">
        <v>2</v>
      </c>
      <c r="B94" s="5" t="s">
        <v>25</v>
      </c>
      <c r="C94" s="1">
        <v>83</v>
      </c>
      <c r="D94" s="7">
        <v>3.8248847926267281E-2</v>
      </c>
      <c r="E94" s="1" t="s">
        <v>15</v>
      </c>
      <c r="F94" s="1">
        <v>1381</v>
      </c>
      <c r="G94" s="1">
        <v>99.927999999999997</v>
      </c>
    </row>
    <row r="95" spans="1:7">
      <c r="A95" s="1">
        <v>2</v>
      </c>
      <c r="B95" s="5" t="s">
        <v>25</v>
      </c>
      <c r="C95" s="1">
        <v>409</v>
      </c>
      <c r="D95" s="7">
        <v>0.18847926267281107</v>
      </c>
      <c r="E95" s="1" t="s">
        <v>24</v>
      </c>
      <c r="F95" s="1">
        <v>1424</v>
      </c>
      <c r="G95" s="1">
        <v>100</v>
      </c>
    </row>
    <row r="96" spans="1:7">
      <c r="A96" s="1">
        <v>2</v>
      </c>
      <c r="B96" s="5" t="s">
        <v>25</v>
      </c>
      <c r="C96" s="1">
        <v>68</v>
      </c>
      <c r="D96" s="7">
        <v>3.1336405529953919E-2</v>
      </c>
      <c r="E96" s="1" t="s">
        <v>28</v>
      </c>
      <c r="F96" s="1">
        <v>1203</v>
      </c>
      <c r="G96" s="1">
        <v>72.319000000000003</v>
      </c>
    </row>
    <row r="97" spans="1:7">
      <c r="A97" s="1">
        <v>2</v>
      </c>
      <c r="B97" s="5" t="s">
        <v>25</v>
      </c>
      <c r="C97" s="1">
        <v>59</v>
      </c>
      <c r="D97" s="7">
        <v>2.7188940092165898E-2</v>
      </c>
      <c r="E97" s="1" t="s">
        <v>81</v>
      </c>
      <c r="F97" s="1" t="s">
        <v>81</v>
      </c>
      <c r="G97" s="1" t="s">
        <v>81</v>
      </c>
    </row>
    <row r="98" spans="1:7">
      <c r="A98" s="1">
        <v>2</v>
      </c>
      <c r="B98" s="5" t="s">
        <v>25</v>
      </c>
      <c r="C98" s="1">
        <v>75</v>
      </c>
      <c r="D98" s="7">
        <v>3.4562211981566823E-2</v>
      </c>
      <c r="E98" s="1" t="s">
        <v>48</v>
      </c>
      <c r="F98" s="1">
        <v>1470</v>
      </c>
      <c r="G98" s="1">
        <v>99.183999999999997</v>
      </c>
    </row>
    <row r="99" spans="1:7">
      <c r="A99" s="1">
        <v>2</v>
      </c>
      <c r="B99" s="5" t="s">
        <v>25</v>
      </c>
      <c r="C99" s="1">
        <v>429</v>
      </c>
      <c r="D99" s="7">
        <v>0.19769585253456221</v>
      </c>
      <c r="E99" s="1" t="s">
        <v>18</v>
      </c>
      <c r="F99" s="1">
        <v>1488</v>
      </c>
      <c r="G99" s="1">
        <v>97.647999999999996</v>
      </c>
    </row>
    <row r="100" spans="1:7">
      <c r="A100" s="1">
        <v>2</v>
      </c>
      <c r="B100" s="5" t="s">
        <v>25</v>
      </c>
      <c r="C100" s="1">
        <v>37</v>
      </c>
      <c r="D100" s="7">
        <v>1.7050691244239632E-2</v>
      </c>
      <c r="E100" s="1" t="s">
        <v>28</v>
      </c>
      <c r="F100" s="1">
        <v>1203</v>
      </c>
      <c r="G100" s="1">
        <v>72.319000000000003</v>
      </c>
    </row>
    <row r="101" spans="1:7">
      <c r="A101" s="1">
        <v>2</v>
      </c>
      <c r="B101" s="5" t="s">
        <v>25</v>
      </c>
      <c r="C101" s="1">
        <v>63</v>
      </c>
      <c r="D101" s="7">
        <v>2.903225806451613E-2</v>
      </c>
      <c r="E101" s="1" t="s">
        <v>24</v>
      </c>
      <c r="F101" s="1">
        <v>1332</v>
      </c>
      <c r="G101" s="1">
        <v>99.924999999999997</v>
      </c>
    </row>
    <row r="102" spans="1:7">
      <c r="A102" s="1">
        <v>2</v>
      </c>
      <c r="B102" s="5" t="s">
        <v>25</v>
      </c>
      <c r="C102" s="1">
        <v>35</v>
      </c>
      <c r="D102" s="7">
        <v>1.6129032258064516E-2</v>
      </c>
      <c r="E102" s="1" t="s">
        <v>29</v>
      </c>
      <c r="F102" s="1">
        <v>1350</v>
      </c>
      <c r="G102" s="1">
        <v>94.147999999999996</v>
      </c>
    </row>
    <row r="103" spans="1:7">
      <c r="A103" s="1">
        <v>2</v>
      </c>
      <c r="B103" s="5" t="s">
        <v>25</v>
      </c>
      <c r="C103" s="1">
        <v>79</v>
      </c>
      <c r="D103" s="7">
        <v>3.6405529953917048E-2</v>
      </c>
      <c r="E103" s="1" t="s">
        <v>28</v>
      </c>
      <c r="F103" s="1">
        <v>1203</v>
      </c>
      <c r="G103" s="1">
        <v>72.319000000000003</v>
      </c>
    </row>
    <row r="104" spans="1:7">
      <c r="A104" s="1">
        <v>2</v>
      </c>
      <c r="B104" s="5" t="s">
        <v>25</v>
      </c>
      <c r="C104" s="1">
        <v>33</v>
      </c>
      <c r="D104" s="7">
        <v>1.5207373271889401E-2</v>
      </c>
      <c r="E104" s="1" t="s">
        <v>32</v>
      </c>
      <c r="F104" s="1">
        <v>1376</v>
      </c>
      <c r="G104" s="1">
        <v>99.927000000000007</v>
      </c>
    </row>
    <row r="105" spans="1:7">
      <c r="A105" s="1">
        <v>2</v>
      </c>
      <c r="B105" s="5" t="s">
        <v>25</v>
      </c>
      <c r="C105" s="1">
        <v>80</v>
      </c>
      <c r="D105" s="7">
        <v>3.6866359447004608E-2</v>
      </c>
      <c r="E105" s="1" t="s">
        <v>21</v>
      </c>
      <c r="F105" s="1">
        <v>1329</v>
      </c>
      <c r="G105" s="1">
        <v>86.305000000000007</v>
      </c>
    </row>
    <row r="106" spans="1:7">
      <c r="A106" s="1">
        <v>2</v>
      </c>
      <c r="B106" s="5" t="s">
        <v>25</v>
      </c>
      <c r="C106" s="1">
        <v>129</v>
      </c>
      <c r="D106" s="7">
        <v>5.9447004608294933E-2</v>
      </c>
      <c r="E106" s="1" t="s">
        <v>30</v>
      </c>
      <c r="F106" s="1">
        <v>1477</v>
      </c>
      <c r="G106" s="1">
        <v>96.141000000000005</v>
      </c>
    </row>
    <row r="107" spans="1:7">
      <c r="A107" s="1">
        <v>2</v>
      </c>
      <c r="B107" s="5" t="s">
        <v>25</v>
      </c>
      <c r="C107" s="1">
        <v>119</v>
      </c>
      <c r="D107" s="7">
        <v>5.4838709677419356E-2</v>
      </c>
      <c r="E107" s="1" t="s">
        <v>23</v>
      </c>
      <c r="F107" s="1">
        <v>1420</v>
      </c>
      <c r="G107" s="1">
        <v>96.055999999999997</v>
      </c>
    </row>
    <row r="108" spans="1:7">
      <c r="A108" s="1">
        <v>2</v>
      </c>
      <c r="B108" s="5" t="s">
        <v>25</v>
      </c>
      <c r="C108" s="1">
        <v>86</v>
      </c>
      <c r="D108" s="7">
        <v>3.9631336405529953E-2</v>
      </c>
      <c r="E108" s="1" t="s">
        <v>35</v>
      </c>
      <c r="F108" s="1">
        <v>297</v>
      </c>
      <c r="G108" s="1">
        <v>76.093999999999994</v>
      </c>
    </row>
    <row r="109" spans="1:7">
      <c r="A109" s="1">
        <v>2</v>
      </c>
      <c r="B109" s="5" t="s">
        <v>25</v>
      </c>
      <c r="C109" s="1">
        <v>254</v>
      </c>
      <c r="D109" s="7">
        <v>0.11705069124423963</v>
      </c>
      <c r="E109" s="1" t="s">
        <v>9</v>
      </c>
      <c r="F109" s="1">
        <v>1458</v>
      </c>
      <c r="G109" s="1">
        <v>98.903000000000006</v>
      </c>
    </row>
    <row r="110" spans="1:7">
      <c r="A110" s="1">
        <v>2</v>
      </c>
      <c r="B110" s="5" t="s">
        <v>25</v>
      </c>
      <c r="C110" s="1">
        <v>46</v>
      </c>
      <c r="D110" s="7">
        <v>2.1198156682027649E-2</v>
      </c>
      <c r="E110" s="1" t="s">
        <v>31</v>
      </c>
      <c r="F110" s="1">
        <v>1387</v>
      </c>
      <c r="G110" s="1">
        <v>84.283000000000001</v>
      </c>
    </row>
    <row r="111" spans="1:7">
      <c r="A111" s="13">
        <v>2</v>
      </c>
      <c r="B111" s="25" t="s">
        <v>25</v>
      </c>
      <c r="C111" s="13">
        <v>86</v>
      </c>
      <c r="D111" s="21">
        <v>3.9631336405529953E-2</v>
      </c>
      <c r="E111" s="13" t="s">
        <v>20</v>
      </c>
      <c r="F111" s="13">
        <v>1422</v>
      </c>
      <c r="G111" s="13">
        <v>99.718999999999994</v>
      </c>
    </row>
    <row r="112" spans="1:7">
      <c r="A112" s="22">
        <v>2</v>
      </c>
      <c r="B112" s="23" t="s">
        <v>33</v>
      </c>
      <c r="C112" s="22">
        <v>31</v>
      </c>
      <c r="D112" s="24">
        <v>1.0594668489405332E-2</v>
      </c>
      <c r="E112" s="22" t="s">
        <v>81</v>
      </c>
      <c r="F112" s="22" t="s">
        <v>81</v>
      </c>
      <c r="G112" s="22" t="s">
        <v>81</v>
      </c>
    </row>
    <row r="113" spans="1:7">
      <c r="A113" s="2">
        <v>2</v>
      </c>
      <c r="B113" s="3" t="s">
        <v>33</v>
      </c>
      <c r="C113" s="2">
        <v>45</v>
      </c>
      <c r="D113" s="8">
        <v>1.5379357484620642E-2</v>
      </c>
      <c r="E113" s="2" t="s">
        <v>16</v>
      </c>
      <c r="F113" s="2">
        <v>1305</v>
      </c>
      <c r="G113" s="2">
        <v>96.245000000000005</v>
      </c>
    </row>
    <row r="114" spans="1:7">
      <c r="A114" s="2">
        <v>2</v>
      </c>
      <c r="B114" s="3" t="s">
        <v>33</v>
      </c>
      <c r="C114" s="2">
        <v>53</v>
      </c>
      <c r="D114" s="8">
        <v>1.8113465481886533E-2</v>
      </c>
      <c r="E114" s="2" t="s">
        <v>34</v>
      </c>
      <c r="F114" s="2">
        <v>1426</v>
      </c>
      <c r="G114" s="2">
        <v>99.578999999999994</v>
      </c>
    </row>
    <row r="115" spans="1:7">
      <c r="A115" s="2">
        <v>2</v>
      </c>
      <c r="B115" s="3" t="s">
        <v>33</v>
      </c>
      <c r="C115" s="2">
        <v>39</v>
      </c>
      <c r="D115" s="8">
        <v>1.3328776486671223E-2</v>
      </c>
      <c r="E115" s="2" t="s">
        <v>23</v>
      </c>
      <c r="F115" s="2">
        <v>1399</v>
      </c>
      <c r="G115" s="2">
        <v>95.997</v>
      </c>
    </row>
    <row r="116" spans="1:7">
      <c r="A116" s="2">
        <v>2</v>
      </c>
      <c r="B116" s="3" t="s">
        <v>33</v>
      </c>
      <c r="C116" s="2">
        <v>29</v>
      </c>
      <c r="D116" s="8">
        <v>9.9111414900888584E-3</v>
      </c>
      <c r="E116" s="2" t="s">
        <v>20</v>
      </c>
      <c r="F116" s="2">
        <v>1323</v>
      </c>
      <c r="G116" s="2">
        <v>99.849000000000004</v>
      </c>
    </row>
    <row r="117" spans="1:7">
      <c r="A117" s="2">
        <v>2</v>
      </c>
      <c r="B117" s="3" t="s">
        <v>33</v>
      </c>
      <c r="C117" s="2">
        <v>29</v>
      </c>
      <c r="D117" s="8">
        <v>9.9111414900888584E-3</v>
      </c>
      <c r="E117" s="2" t="s">
        <v>49</v>
      </c>
      <c r="F117" s="2">
        <v>1451</v>
      </c>
      <c r="G117" s="2">
        <v>95.933999999999997</v>
      </c>
    </row>
    <row r="118" spans="1:7">
      <c r="A118" s="2">
        <v>2</v>
      </c>
      <c r="B118" s="3" t="s">
        <v>33</v>
      </c>
      <c r="C118" s="2">
        <v>78</v>
      </c>
      <c r="D118" s="8">
        <v>2.6657552973342446E-2</v>
      </c>
      <c r="E118" s="2" t="s">
        <v>20</v>
      </c>
      <c r="F118" s="2">
        <v>1426</v>
      </c>
      <c r="G118" s="2">
        <v>99.718999999999994</v>
      </c>
    </row>
    <row r="119" spans="1:7">
      <c r="A119" s="2">
        <v>2</v>
      </c>
      <c r="B119" s="3" t="s">
        <v>33</v>
      </c>
      <c r="C119" s="2">
        <v>92</v>
      </c>
      <c r="D119" s="8">
        <v>3.1442241968557758E-2</v>
      </c>
      <c r="E119" s="2" t="s">
        <v>16</v>
      </c>
      <c r="F119" s="2">
        <v>1414</v>
      </c>
      <c r="G119" s="2">
        <v>96.04</v>
      </c>
    </row>
    <row r="120" spans="1:7">
      <c r="A120" s="2">
        <v>2</v>
      </c>
      <c r="B120" s="3" t="s">
        <v>33</v>
      </c>
      <c r="C120" s="2">
        <v>28</v>
      </c>
      <c r="D120" s="8">
        <v>9.5693779904306216E-3</v>
      </c>
      <c r="E120" s="2" t="s">
        <v>50</v>
      </c>
      <c r="F120" s="2">
        <v>1475</v>
      </c>
      <c r="G120" s="2">
        <v>90.846999999999994</v>
      </c>
    </row>
    <row r="121" spans="1:7">
      <c r="A121" s="2">
        <v>2</v>
      </c>
      <c r="B121" s="3" t="s">
        <v>33</v>
      </c>
      <c r="C121" s="2">
        <v>48</v>
      </c>
      <c r="D121" s="8">
        <v>1.6404647983595352E-2</v>
      </c>
      <c r="E121" s="2" t="s">
        <v>51</v>
      </c>
      <c r="F121" s="2">
        <v>1468</v>
      </c>
      <c r="G121" s="2">
        <v>97.48</v>
      </c>
    </row>
    <row r="122" spans="1:7">
      <c r="A122" s="2">
        <v>2</v>
      </c>
      <c r="B122" s="3" t="s">
        <v>33</v>
      </c>
      <c r="C122" s="2">
        <v>29</v>
      </c>
      <c r="D122" s="8">
        <v>9.9111414900888584E-3</v>
      </c>
      <c r="E122" s="2" t="s">
        <v>52</v>
      </c>
      <c r="F122" s="2">
        <v>1211</v>
      </c>
      <c r="G122" s="2">
        <v>69.777000000000001</v>
      </c>
    </row>
    <row r="123" spans="1:7">
      <c r="A123" s="2">
        <v>2</v>
      </c>
      <c r="B123" s="3" t="s">
        <v>33</v>
      </c>
      <c r="C123" s="2">
        <v>244</v>
      </c>
      <c r="D123" s="8">
        <v>8.3390293916609709E-2</v>
      </c>
      <c r="E123" s="2" t="s">
        <v>82</v>
      </c>
      <c r="F123" s="2">
        <v>1359</v>
      </c>
      <c r="G123" s="2">
        <v>89.844999999999999</v>
      </c>
    </row>
    <row r="124" spans="1:7">
      <c r="A124" s="2">
        <v>2</v>
      </c>
      <c r="B124" s="3" t="s">
        <v>33</v>
      </c>
      <c r="C124" s="2">
        <v>700</v>
      </c>
      <c r="D124" s="8">
        <v>0.23923444976076555</v>
      </c>
      <c r="E124" s="2" t="s">
        <v>84</v>
      </c>
      <c r="F124" s="2">
        <v>1505</v>
      </c>
      <c r="G124" s="2">
        <v>89.501999999999995</v>
      </c>
    </row>
    <row r="125" spans="1:7">
      <c r="A125" s="2">
        <v>2</v>
      </c>
      <c r="B125" s="3" t="s">
        <v>33</v>
      </c>
      <c r="C125" s="2">
        <v>41</v>
      </c>
      <c r="D125" s="8">
        <v>1.4012303485987697E-2</v>
      </c>
      <c r="E125" s="2" t="s">
        <v>21</v>
      </c>
      <c r="F125" s="2">
        <v>1284</v>
      </c>
      <c r="G125" s="2">
        <v>86.058999999999997</v>
      </c>
    </row>
    <row r="126" spans="1:7">
      <c r="A126" s="2">
        <v>2</v>
      </c>
      <c r="B126" s="3" t="s">
        <v>33</v>
      </c>
      <c r="C126" s="2">
        <v>217</v>
      </c>
      <c r="D126" s="8">
        <v>7.4162679425837319E-2</v>
      </c>
      <c r="E126" s="2" t="s">
        <v>24</v>
      </c>
      <c r="F126" s="2">
        <v>1340</v>
      </c>
      <c r="G126" s="2">
        <v>99.924999999999997</v>
      </c>
    </row>
    <row r="127" spans="1:7">
      <c r="A127" s="17">
        <v>2</v>
      </c>
      <c r="B127" s="18" t="s">
        <v>33</v>
      </c>
      <c r="C127" s="17">
        <v>1223</v>
      </c>
      <c r="D127" s="19">
        <v>0.41797676008202322</v>
      </c>
      <c r="E127" s="17" t="s">
        <v>24</v>
      </c>
      <c r="F127" s="17">
        <v>1429</v>
      </c>
      <c r="G127" s="17">
        <v>100</v>
      </c>
    </row>
    <row r="128" spans="1:7">
      <c r="A128" s="1">
        <v>2</v>
      </c>
      <c r="B128" s="5" t="s">
        <v>38</v>
      </c>
      <c r="C128" s="1">
        <v>236</v>
      </c>
      <c r="D128" s="7">
        <v>0.11373493975903615</v>
      </c>
      <c r="E128" s="1" t="s">
        <v>18</v>
      </c>
      <c r="F128" s="1">
        <v>1488</v>
      </c>
      <c r="G128" s="1">
        <v>97.647999999999996</v>
      </c>
    </row>
    <row r="129" spans="1:7">
      <c r="A129" s="1">
        <v>2</v>
      </c>
      <c r="B129" s="5" t="s">
        <v>38</v>
      </c>
      <c r="C129" s="1">
        <v>66</v>
      </c>
      <c r="D129" s="7">
        <v>3.180722891566265E-2</v>
      </c>
      <c r="E129" s="1" t="s">
        <v>53</v>
      </c>
      <c r="F129" s="1">
        <v>1478</v>
      </c>
      <c r="G129" s="1">
        <v>97.225999999999999</v>
      </c>
    </row>
    <row r="130" spans="1:7">
      <c r="A130" s="1">
        <v>2</v>
      </c>
      <c r="B130" s="5" t="s">
        <v>38</v>
      </c>
      <c r="C130" s="1">
        <v>69</v>
      </c>
      <c r="D130" s="7">
        <v>3.3253012048192768E-2</v>
      </c>
      <c r="E130" s="1" t="s">
        <v>54</v>
      </c>
      <c r="F130" s="1">
        <v>1214</v>
      </c>
      <c r="G130" s="1">
        <v>68.945999999999998</v>
      </c>
    </row>
    <row r="131" spans="1:7">
      <c r="A131" s="1">
        <v>2</v>
      </c>
      <c r="B131" s="5" t="s">
        <v>38</v>
      </c>
      <c r="C131" s="1">
        <v>188</v>
      </c>
      <c r="D131" s="7">
        <v>9.0602409638554218E-2</v>
      </c>
      <c r="E131" s="1" t="s">
        <v>9</v>
      </c>
      <c r="F131" s="1">
        <v>1467</v>
      </c>
      <c r="G131" s="1">
        <v>98.909000000000006</v>
      </c>
    </row>
    <row r="132" spans="1:7">
      <c r="A132" s="1">
        <v>2</v>
      </c>
      <c r="B132" s="5" t="s">
        <v>38</v>
      </c>
      <c r="C132" s="1">
        <v>133</v>
      </c>
      <c r="D132" s="7">
        <v>6.4096385542168677E-2</v>
      </c>
      <c r="E132" s="1" t="s">
        <v>55</v>
      </c>
      <c r="F132" s="1">
        <v>1468</v>
      </c>
      <c r="G132" s="1">
        <v>99.046000000000006</v>
      </c>
    </row>
    <row r="133" spans="1:7">
      <c r="A133" s="1">
        <v>2</v>
      </c>
      <c r="B133" s="5" t="s">
        <v>38</v>
      </c>
      <c r="C133" s="1">
        <v>54</v>
      </c>
      <c r="D133" s="7">
        <v>2.6024096385542168E-2</v>
      </c>
      <c r="E133" s="1" t="s">
        <v>21</v>
      </c>
      <c r="F133" s="1">
        <v>1328</v>
      </c>
      <c r="G133" s="1">
        <v>86.37</v>
      </c>
    </row>
    <row r="134" spans="1:7">
      <c r="A134" s="1">
        <v>2</v>
      </c>
      <c r="B134" s="5" t="s">
        <v>38</v>
      </c>
      <c r="C134" s="1">
        <v>128</v>
      </c>
      <c r="D134" s="7">
        <v>6.1686746987951804E-2</v>
      </c>
      <c r="E134" s="1" t="s">
        <v>30</v>
      </c>
      <c r="F134" s="1">
        <v>1478</v>
      </c>
      <c r="G134" s="1">
        <v>96.075999999999993</v>
      </c>
    </row>
    <row r="135" spans="1:7">
      <c r="A135" s="1">
        <v>2</v>
      </c>
      <c r="B135" s="5" t="s">
        <v>38</v>
      </c>
      <c r="C135" s="1">
        <v>191</v>
      </c>
      <c r="D135" s="7">
        <v>9.2048192771084336E-2</v>
      </c>
      <c r="E135" s="1" t="s">
        <v>31</v>
      </c>
      <c r="F135" s="1">
        <v>1438</v>
      </c>
      <c r="G135" s="1">
        <v>84.352999999999994</v>
      </c>
    </row>
    <row r="136" spans="1:7">
      <c r="A136" s="1">
        <v>2</v>
      </c>
      <c r="B136" s="5" t="s">
        <v>38</v>
      </c>
      <c r="C136" s="1">
        <v>72</v>
      </c>
      <c r="D136" s="7">
        <v>3.4698795180722893E-2</v>
      </c>
      <c r="E136" s="1" t="s">
        <v>56</v>
      </c>
      <c r="F136" s="1">
        <v>1498</v>
      </c>
      <c r="G136" s="1">
        <v>89.72</v>
      </c>
    </row>
    <row r="137" spans="1:7">
      <c r="A137" s="1">
        <v>2</v>
      </c>
      <c r="B137" s="5" t="s">
        <v>38</v>
      </c>
      <c r="C137" s="1">
        <v>76</v>
      </c>
      <c r="D137" s="7">
        <v>3.6626506024096388E-2</v>
      </c>
      <c r="E137" s="1" t="s">
        <v>27</v>
      </c>
      <c r="F137" s="1">
        <v>1469</v>
      </c>
      <c r="G137" s="1">
        <v>92.24</v>
      </c>
    </row>
    <row r="138" spans="1:7">
      <c r="A138" s="1">
        <v>2</v>
      </c>
      <c r="B138" s="5" t="s">
        <v>38</v>
      </c>
      <c r="C138" s="1">
        <v>206</v>
      </c>
      <c r="D138" s="7">
        <v>9.927710843373494E-2</v>
      </c>
      <c r="E138" s="1" t="s">
        <v>28</v>
      </c>
      <c r="F138" s="1">
        <v>1203</v>
      </c>
      <c r="G138" s="1">
        <v>72.319000000000003</v>
      </c>
    </row>
    <row r="139" spans="1:7">
      <c r="A139" s="1">
        <v>2</v>
      </c>
      <c r="B139" s="5" t="s">
        <v>38</v>
      </c>
      <c r="C139" s="1">
        <v>60</v>
      </c>
      <c r="D139" s="7">
        <v>2.891566265060241E-2</v>
      </c>
      <c r="E139" s="1" t="s">
        <v>57</v>
      </c>
      <c r="F139" s="1">
        <v>1296</v>
      </c>
      <c r="G139" s="1">
        <v>99.769000000000005</v>
      </c>
    </row>
    <row r="140" spans="1:7">
      <c r="A140" s="1">
        <v>2</v>
      </c>
      <c r="B140" s="5" t="s">
        <v>38</v>
      </c>
      <c r="C140" s="1">
        <v>151</v>
      </c>
      <c r="D140" s="7">
        <v>7.2771084337349398E-2</v>
      </c>
      <c r="E140" s="1" t="s">
        <v>57</v>
      </c>
      <c r="F140" s="1">
        <v>1296</v>
      </c>
      <c r="G140" s="1">
        <v>99.769000000000005</v>
      </c>
    </row>
    <row r="141" spans="1:7">
      <c r="A141" s="1">
        <v>2</v>
      </c>
      <c r="B141" s="5" t="s">
        <v>38</v>
      </c>
      <c r="C141" s="1">
        <v>78</v>
      </c>
      <c r="D141" s="7">
        <v>3.7590361445783135E-2</v>
      </c>
      <c r="E141" s="1" t="s">
        <v>48</v>
      </c>
      <c r="F141" s="1">
        <v>1475</v>
      </c>
      <c r="G141" s="1">
        <v>99.186000000000007</v>
      </c>
    </row>
    <row r="142" spans="1:7">
      <c r="A142" s="1">
        <v>2</v>
      </c>
      <c r="B142" s="5" t="s">
        <v>38</v>
      </c>
      <c r="C142" s="1">
        <v>71</v>
      </c>
      <c r="D142" s="7">
        <v>3.4216867469879515E-2</v>
      </c>
      <c r="E142" s="1" t="s">
        <v>43</v>
      </c>
      <c r="F142" s="1">
        <v>1457</v>
      </c>
      <c r="G142" s="1">
        <v>100</v>
      </c>
    </row>
    <row r="143" spans="1:7">
      <c r="A143" s="1">
        <v>2</v>
      </c>
      <c r="B143" s="5" t="s">
        <v>38</v>
      </c>
      <c r="C143" s="1">
        <v>54</v>
      </c>
      <c r="D143" s="7">
        <v>2.6024096385542168E-2</v>
      </c>
      <c r="E143" s="1" t="s">
        <v>58</v>
      </c>
      <c r="F143" s="1">
        <v>1415</v>
      </c>
      <c r="G143" s="1">
        <v>99.504999999999995</v>
      </c>
    </row>
    <row r="144" spans="1:7">
      <c r="A144" s="1">
        <v>2</v>
      </c>
      <c r="B144" s="5" t="s">
        <v>38</v>
      </c>
      <c r="C144" s="1">
        <v>149</v>
      </c>
      <c r="D144" s="7">
        <v>7.1807228915662658E-2</v>
      </c>
      <c r="E144" s="1" t="s">
        <v>59</v>
      </c>
      <c r="F144" s="1">
        <v>37</v>
      </c>
      <c r="G144" s="1">
        <v>83.784000000000006</v>
      </c>
    </row>
    <row r="145" spans="1:7">
      <c r="A145" s="13">
        <v>2</v>
      </c>
      <c r="B145" s="25" t="s">
        <v>38</v>
      </c>
      <c r="C145" s="13">
        <v>93</v>
      </c>
      <c r="D145" s="21">
        <v>4.4819277108433732E-2</v>
      </c>
      <c r="E145" s="13" t="s">
        <v>29</v>
      </c>
      <c r="F145" s="13">
        <v>1460</v>
      </c>
      <c r="G145" s="13">
        <v>94.11</v>
      </c>
    </row>
    <row r="146" spans="1:7">
      <c r="A146" s="2">
        <v>3</v>
      </c>
      <c r="B146" s="3" t="s">
        <v>7</v>
      </c>
      <c r="C146" s="2">
        <v>84</v>
      </c>
      <c r="D146" s="8">
        <v>2.993585174625802E-2</v>
      </c>
      <c r="E146" s="2" t="s">
        <v>32</v>
      </c>
      <c r="F146" s="2">
        <v>1418</v>
      </c>
      <c r="G146" s="2">
        <v>99.929000000000002</v>
      </c>
    </row>
    <row r="147" spans="1:7">
      <c r="A147" s="2">
        <v>3</v>
      </c>
      <c r="B147" s="3" t="s">
        <v>7</v>
      </c>
      <c r="C147" s="2">
        <v>82</v>
      </c>
      <c r="D147" s="8">
        <v>2.9223093371347115E-2</v>
      </c>
      <c r="E147" s="2" t="s">
        <v>60</v>
      </c>
      <c r="F147" s="2">
        <v>1414</v>
      </c>
      <c r="G147" s="2">
        <v>96.676000000000002</v>
      </c>
    </row>
    <row r="148" spans="1:7">
      <c r="A148" s="2">
        <v>3</v>
      </c>
      <c r="B148" s="3" t="s">
        <v>7</v>
      </c>
      <c r="C148" s="2">
        <v>70</v>
      </c>
      <c r="D148" s="8">
        <v>2.4946543121881683E-2</v>
      </c>
      <c r="E148" s="2" t="s">
        <v>61</v>
      </c>
      <c r="F148" s="2">
        <v>1442</v>
      </c>
      <c r="G148" s="2">
        <v>99.930999999999997</v>
      </c>
    </row>
    <row r="149" spans="1:7">
      <c r="A149" s="2">
        <v>3</v>
      </c>
      <c r="B149" s="3" t="s">
        <v>7</v>
      </c>
      <c r="C149" s="2">
        <v>136</v>
      </c>
      <c r="D149" s="8">
        <v>4.8467569493941556E-2</v>
      </c>
      <c r="E149" s="2" t="s">
        <v>43</v>
      </c>
      <c r="F149" s="2">
        <v>1456</v>
      </c>
      <c r="G149" s="2">
        <v>100</v>
      </c>
    </row>
    <row r="150" spans="1:7">
      <c r="A150" s="2">
        <v>3</v>
      </c>
      <c r="B150" s="3" t="s">
        <v>7</v>
      </c>
      <c r="C150" s="2">
        <v>334</v>
      </c>
      <c r="D150" s="8">
        <v>0.11903064861012116</v>
      </c>
      <c r="E150" s="2" t="s">
        <v>18</v>
      </c>
      <c r="F150" s="2">
        <v>1483</v>
      </c>
      <c r="G150" s="2">
        <v>97.64</v>
      </c>
    </row>
    <row r="151" spans="1:7">
      <c r="A151" s="2">
        <v>3</v>
      </c>
      <c r="B151" s="3" t="s">
        <v>7</v>
      </c>
      <c r="C151" s="2">
        <v>83</v>
      </c>
      <c r="D151" s="8">
        <v>2.9579472558802566E-2</v>
      </c>
      <c r="E151" s="2" t="s">
        <v>62</v>
      </c>
      <c r="F151" s="2">
        <v>1472</v>
      </c>
      <c r="G151" s="2">
        <v>99.796000000000006</v>
      </c>
    </row>
    <row r="152" spans="1:7">
      <c r="A152" s="2">
        <v>3</v>
      </c>
      <c r="B152" s="3" t="s">
        <v>7</v>
      </c>
      <c r="C152" s="2">
        <v>27</v>
      </c>
      <c r="D152" s="8">
        <v>9.6222380612972207E-3</v>
      </c>
      <c r="E152" s="2" t="s">
        <v>21</v>
      </c>
      <c r="F152" s="2">
        <v>1328</v>
      </c>
      <c r="G152" s="2">
        <v>86.37</v>
      </c>
    </row>
    <row r="153" spans="1:7">
      <c r="A153" s="2">
        <v>3</v>
      </c>
      <c r="B153" s="3" t="s">
        <v>7</v>
      </c>
      <c r="C153" s="2">
        <v>122</v>
      </c>
      <c r="D153" s="8">
        <v>4.3478260869565216E-2</v>
      </c>
      <c r="E153" s="2" t="s">
        <v>24</v>
      </c>
      <c r="F153" s="2">
        <v>1429</v>
      </c>
      <c r="G153" s="2">
        <v>100</v>
      </c>
    </row>
    <row r="154" spans="1:7">
      <c r="A154" s="2">
        <v>3</v>
      </c>
      <c r="B154" s="3" t="s">
        <v>7</v>
      </c>
      <c r="C154" s="2">
        <v>48</v>
      </c>
      <c r="D154" s="8">
        <v>1.7106200997861726E-2</v>
      </c>
      <c r="E154" s="2" t="s">
        <v>15</v>
      </c>
      <c r="F154" s="2">
        <v>1301</v>
      </c>
      <c r="G154" s="2">
        <v>99.923000000000002</v>
      </c>
    </row>
    <row r="155" spans="1:7">
      <c r="A155" s="2">
        <v>3</v>
      </c>
      <c r="B155" s="3" t="s">
        <v>7</v>
      </c>
      <c r="C155" s="2">
        <v>55</v>
      </c>
      <c r="D155" s="8">
        <v>1.9600855310049892E-2</v>
      </c>
      <c r="E155" s="2" t="s">
        <v>16</v>
      </c>
      <c r="F155" s="2">
        <v>1316</v>
      </c>
      <c r="G155" s="2">
        <v>96.277000000000001</v>
      </c>
    </row>
    <row r="156" spans="1:7">
      <c r="A156" s="2">
        <v>3</v>
      </c>
      <c r="B156" s="3" t="s">
        <v>7</v>
      </c>
      <c r="C156" s="2">
        <v>33</v>
      </c>
      <c r="D156" s="8">
        <v>1.1760513186029936E-2</v>
      </c>
      <c r="E156" s="2" t="s">
        <v>63</v>
      </c>
      <c r="F156" s="2">
        <v>1389</v>
      </c>
      <c r="G156" s="2">
        <v>88.769000000000005</v>
      </c>
    </row>
    <row r="157" spans="1:7">
      <c r="A157" s="2">
        <v>3</v>
      </c>
      <c r="B157" s="3" t="s">
        <v>7</v>
      </c>
      <c r="C157" s="2">
        <v>39</v>
      </c>
      <c r="D157" s="8">
        <v>1.3898788310762652E-2</v>
      </c>
      <c r="E157" s="2" t="s">
        <v>82</v>
      </c>
      <c r="F157" s="2">
        <v>1280</v>
      </c>
      <c r="G157" s="2">
        <v>89.453000000000003</v>
      </c>
    </row>
    <row r="158" spans="1:7">
      <c r="A158" s="2">
        <v>3</v>
      </c>
      <c r="B158" s="3" t="s">
        <v>7</v>
      </c>
      <c r="C158" s="2">
        <v>111</v>
      </c>
      <c r="D158" s="8">
        <v>3.9558089807555236E-2</v>
      </c>
      <c r="E158" s="2" t="s">
        <v>10</v>
      </c>
      <c r="F158" s="2">
        <v>1480</v>
      </c>
      <c r="G158" s="2">
        <v>95.945999999999998</v>
      </c>
    </row>
    <row r="159" spans="1:7">
      <c r="A159" s="2">
        <v>3</v>
      </c>
      <c r="B159" s="3" t="s">
        <v>7</v>
      </c>
      <c r="C159" s="2">
        <v>121</v>
      </c>
      <c r="D159" s="8">
        <v>4.3121881682109765E-2</v>
      </c>
      <c r="E159" s="2" t="s">
        <v>64</v>
      </c>
      <c r="F159" s="2">
        <v>1417</v>
      </c>
      <c r="G159" s="2">
        <v>99.153000000000006</v>
      </c>
    </row>
    <row r="160" spans="1:7">
      <c r="A160" s="2">
        <v>3</v>
      </c>
      <c r="B160" s="3" t="s">
        <v>7</v>
      </c>
      <c r="C160" s="2">
        <v>287</v>
      </c>
      <c r="D160" s="8">
        <v>0.1022808267997149</v>
      </c>
      <c r="E160" s="2" t="s">
        <v>15</v>
      </c>
      <c r="F160" s="2">
        <v>1381</v>
      </c>
      <c r="G160" s="2">
        <v>99.927999999999997</v>
      </c>
    </row>
    <row r="161" spans="1:7">
      <c r="A161" s="2">
        <v>3</v>
      </c>
      <c r="B161" s="3" t="s">
        <v>7</v>
      </c>
      <c r="C161" s="2">
        <v>67</v>
      </c>
      <c r="D161" s="8">
        <v>2.3877405559515324E-2</v>
      </c>
      <c r="E161" s="2" t="s">
        <v>65</v>
      </c>
      <c r="F161" s="2">
        <v>1270</v>
      </c>
      <c r="G161" s="2">
        <v>72.834999999999994</v>
      </c>
    </row>
    <row r="162" spans="1:7">
      <c r="A162" s="2">
        <v>3</v>
      </c>
      <c r="B162" s="3" t="s">
        <v>7</v>
      </c>
      <c r="C162" s="2">
        <v>44</v>
      </c>
      <c r="D162" s="8">
        <v>1.5680684248039915E-2</v>
      </c>
      <c r="E162" s="2" t="s">
        <v>40</v>
      </c>
      <c r="F162" s="2">
        <v>1442</v>
      </c>
      <c r="G162" s="2">
        <v>97.92</v>
      </c>
    </row>
    <row r="163" spans="1:7">
      <c r="A163" s="2">
        <v>3</v>
      </c>
      <c r="B163" s="3" t="s">
        <v>7</v>
      </c>
      <c r="C163" s="2">
        <v>62</v>
      </c>
      <c r="D163" s="8">
        <v>2.2095509622238062E-2</v>
      </c>
      <c r="E163" s="2" t="s">
        <v>23</v>
      </c>
      <c r="F163" s="2">
        <v>1417</v>
      </c>
      <c r="G163" s="2">
        <v>96.048000000000002</v>
      </c>
    </row>
    <row r="164" spans="1:7">
      <c r="A164" s="2">
        <v>3</v>
      </c>
      <c r="B164" s="3" t="s">
        <v>7</v>
      </c>
      <c r="C164" s="2">
        <v>191</v>
      </c>
      <c r="D164" s="8">
        <v>6.8068424803991445E-2</v>
      </c>
      <c r="E164" s="2" t="s">
        <v>9</v>
      </c>
      <c r="F164" s="2">
        <v>1460</v>
      </c>
      <c r="G164" s="2">
        <v>98.903999999999996</v>
      </c>
    </row>
    <row r="165" spans="1:7">
      <c r="A165" s="2">
        <v>3</v>
      </c>
      <c r="B165" s="3" t="s">
        <v>7</v>
      </c>
      <c r="C165" s="2">
        <v>125</v>
      </c>
      <c r="D165" s="8">
        <v>4.4547398431931576E-2</v>
      </c>
      <c r="E165" s="2" t="s">
        <v>28</v>
      </c>
      <c r="F165" s="2">
        <v>1203</v>
      </c>
      <c r="G165" s="2">
        <v>72.319000000000003</v>
      </c>
    </row>
    <row r="166" spans="1:7">
      <c r="A166" s="2">
        <v>3</v>
      </c>
      <c r="B166" s="3" t="s">
        <v>7</v>
      </c>
      <c r="C166" s="2">
        <v>134</v>
      </c>
      <c r="D166" s="8">
        <v>4.7754811119030648E-2</v>
      </c>
      <c r="E166" s="2" t="s">
        <v>16</v>
      </c>
      <c r="F166" s="2">
        <v>1416</v>
      </c>
      <c r="G166" s="2">
        <v>96.045000000000002</v>
      </c>
    </row>
    <row r="167" spans="1:7">
      <c r="A167" s="2">
        <v>3</v>
      </c>
      <c r="B167" s="3" t="s">
        <v>7</v>
      </c>
      <c r="C167" s="2">
        <v>81</v>
      </c>
      <c r="D167" s="8">
        <v>2.886671418389166E-2</v>
      </c>
      <c r="E167" s="2" t="s">
        <v>58</v>
      </c>
      <c r="F167" s="2">
        <v>1415</v>
      </c>
      <c r="G167" s="2">
        <v>99.647000000000006</v>
      </c>
    </row>
    <row r="168" spans="1:7">
      <c r="A168" s="2">
        <v>3</v>
      </c>
      <c r="B168" s="3" t="s">
        <v>7</v>
      </c>
      <c r="C168" s="2">
        <v>55</v>
      </c>
      <c r="D168" s="8">
        <v>1.9600855310049892E-2</v>
      </c>
      <c r="E168" s="2" t="s">
        <v>66</v>
      </c>
      <c r="F168" s="2">
        <v>1432</v>
      </c>
      <c r="G168" s="2">
        <v>83.799000000000007</v>
      </c>
    </row>
    <row r="169" spans="1:7">
      <c r="A169" s="2">
        <v>3</v>
      </c>
      <c r="B169" s="3" t="s">
        <v>7</v>
      </c>
      <c r="C169" s="2">
        <v>66</v>
      </c>
      <c r="D169" s="8">
        <v>2.3521026372059873E-2</v>
      </c>
      <c r="E169" s="2" t="s">
        <v>67</v>
      </c>
      <c r="F169" s="2">
        <v>1456</v>
      </c>
      <c r="G169" s="2">
        <v>96.084999999999994</v>
      </c>
    </row>
    <row r="170" spans="1:7">
      <c r="A170" s="2">
        <v>3</v>
      </c>
      <c r="B170" s="3" t="s">
        <v>7</v>
      </c>
      <c r="C170" s="2">
        <v>28</v>
      </c>
      <c r="D170" s="8">
        <v>9.9786172487526734E-3</v>
      </c>
      <c r="E170" s="2" t="s">
        <v>68</v>
      </c>
      <c r="F170" s="2">
        <v>1292</v>
      </c>
      <c r="G170" s="2">
        <v>98.064999999999998</v>
      </c>
    </row>
    <row r="171" spans="1:7">
      <c r="A171" s="2">
        <v>3</v>
      </c>
      <c r="B171" s="3" t="s">
        <v>7</v>
      </c>
      <c r="C171" s="2">
        <v>58</v>
      </c>
      <c r="D171" s="8">
        <v>2.0669992872416252E-2</v>
      </c>
      <c r="E171" s="2" t="s">
        <v>62</v>
      </c>
      <c r="F171" s="2">
        <v>1466</v>
      </c>
      <c r="G171" s="2">
        <v>99.385999999999996</v>
      </c>
    </row>
    <row r="172" spans="1:7">
      <c r="A172" s="2">
        <v>3</v>
      </c>
      <c r="B172" s="3" t="s">
        <v>7</v>
      </c>
      <c r="C172" s="2">
        <v>28</v>
      </c>
      <c r="D172" s="8">
        <v>9.9786172487526734E-3</v>
      </c>
      <c r="E172" s="2" t="s">
        <v>28</v>
      </c>
      <c r="F172" s="2">
        <v>1203</v>
      </c>
      <c r="G172" s="2">
        <v>72.319000000000003</v>
      </c>
    </row>
    <row r="173" spans="1:7">
      <c r="A173" s="17">
        <v>3</v>
      </c>
      <c r="B173" s="18" t="s">
        <v>7</v>
      </c>
      <c r="C173" s="17">
        <v>235</v>
      </c>
      <c r="D173" s="19">
        <v>8.3749109052031367E-2</v>
      </c>
      <c r="E173" s="17" t="s">
        <v>68</v>
      </c>
      <c r="F173" s="17">
        <v>1362</v>
      </c>
      <c r="G173" s="17">
        <v>97.724000000000004</v>
      </c>
    </row>
    <row r="174" spans="1:7">
      <c r="A174" s="1">
        <v>3</v>
      </c>
      <c r="B174" s="5" t="s">
        <v>69</v>
      </c>
      <c r="C174" s="1">
        <v>104</v>
      </c>
      <c r="D174" s="7">
        <v>3.9543726235741442E-2</v>
      </c>
      <c r="E174" s="1" t="s">
        <v>15</v>
      </c>
      <c r="F174" s="1">
        <v>1381</v>
      </c>
      <c r="G174" s="1">
        <v>99.927999999999997</v>
      </c>
    </row>
    <row r="175" spans="1:7">
      <c r="A175" s="1">
        <v>3</v>
      </c>
      <c r="B175" s="5" t="s">
        <v>25</v>
      </c>
      <c r="C175" s="1">
        <v>79</v>
      </c>
      <c r="D175" s="7">
        <v>3.0038022813688212E-2</v>
      </c>
      <c r="E175" s="1" t="s">
        <v>85</v>
      </c>
      <c r="F175" s="1">
        <v>1472</v>
      </c>
      <c r="G175" s="1">
        <v>89.945999999999998</v>
      </c>
    </row>
    <row r="176" spans="1:7">
      <c r="A176" s="1">
        <v>3</v>
      </c>
      <c r="B176" s="5" t="s">
        <v>25</v>
      </c>
      <c r="C176" s="1">
        <v>79</v>
      </c>
      <c r="D176" s="7">
        <v>3.0038022813688212E-2</v>
      </c>
      <c r="E176" s="1" t="s">
        <v>70</v>
      </c>
      <c r="F176" s="1">
        <v>1401</v>
      </c>
      <c r="G176" s="1">
        <v>97.144999999999996</v>
      </c>
    </row>
    <row r="177" spans="1:7">
      <c r="A177" s="1">
        <v>3</v>
      </c>
      <c r="B177" s="5" t="s">
        <v>25</v>
      </c>
      <c r="C177" s="1">
        <v>551</v>
      </c>
      <c r="D177" s="7">
        <v>0.20950570342205324</v>
      </c>
      <c r="E177" s="1" t="s">
        <v>9</v>
      </c>
      <c r="F177" s="1">
        <v>1461</v>
      </c>
      <c r="G177" s="1">
        <v>98.905000000000001</v>
      </c>
    </row>
    <row r="178" spans="1:7">
      <c r="A178" s="1">
        <v>3</v>
      </c>
      <c r="B178" s="5" t="s">
        <v>25</v>
      </c>
      <c r="C178" s="1">
        <v>38</v>
      </c>
      <c r="D178" s="7">
        <v>1.4448669201520912E-2</v>
      </c>
      <c r="E178" s="1" t="s">
        <v>24</v>
      </c>
      <c r="F178" s="1">
        <v>1358</v>
      </c>
      <c r="G178" s="1">
        <v>100</v>
      </c>
    </row>
    <row r="179" spans="1:7">
      <c r="A179" s="1">
        <v>3</v>
      </c>
      <c r="B179" s="5" t="s">
        <v>25</v>
      </c>
      <c r="C179" s="1">
        <v>195</v>
      </c>
      <c r="D179" s="7">
        <v>7.4144486692015205E-2</v>
      </c>
      <c r="E179" s="1" t="s">
        <v>32</v>
      </c>
      <c r="F179" s="1">
        <v>1414</v>
      </c>
      <c r="G179" s="1">
        <v>99.929000000000002</v>
      </c>
    </row>
    <row r="180" spans="1:7">
      <c r="A180" s="1">
        <v>3</v>
      </c>
      <c r="B180" s="5" t="s">
        <v>25</v>
      </c>
      <c r="C180" s="1">
        <v>37</v>
      </c>
      <c r="D180" s="7">
        <v>1.4068441064638783E-2</v>
      </c>
      <c r="E180" s="1" t="s">
        <v>21</v>
      </c>
      <c r="F180" s="1">
        <v>1096</v>
      </c>
      <c r="G180" s="1">
        <v>86.861000000000004</v>
      </c>
    </row>
    <row r="181" spans="1:7">
      <c r="A181" s="1">
        <v>3</v>
      </c>
      <c r="B181" s="5" t="s">
        <v>25</v>
      </c>
      <c r="C181" s="1">
        <v>28</v>
      </c>
      <c r="D181" s="7">
        <v>1.064638783269962E-2</v>
      </c>
      <c r="E181" s="1" t="s">
        <v>82</v>
      </c>
      <c r="F181" s="1">
        <v>1344</v>
      </c>
      <c r="G181" s="1">
        <v>89.731999999999999</v>
      </c>
    </row>
    <row r="182" spans="1:7">
      <c r="A182" s="1">
        <v>3</v>
      </c>
      <c r="B182" s="5" t="s">
        <v>25</v>
      </c>
      <c r="C182" s="1">
        <v>40</v>
      </c>
      <c r="D182" s="7">
        <v>1.5209125475285171E-2</v>
      </c>
      <c r="E182" s="1" t="s">
        <v>71</v>
      </c>
      <c r="F182" s="1">
        <v>1342</v>
      </c>
      <c r="G182" s="1">
        <v>100</v>
      </c>
    </row>
    <row r="183" spans="1:7">
      <c r="A183" s="1">
        <v>3</v>
      </c>
      <c r="B183" s="5" t="s">
        <v>25</v>
      </c>
      <c r="C183" s="1">
        <v>70</v>
      </c>
      <c r="D183" s="7">
        <v>2.6615969581749048E-2</v>
      </c>
      <c r="E183" s="1" t="s">
        <v>16</v>
      </c>
      <c r="F183" s="1">
        <v>1316</v>
      </c>
      <c r="G183" s="1">
        <v>96.277000000000001</v>
      </c>
    </row>
    <row r="184" spans="1:7">
      <c r="A184" s="1">
        <v>3</v>
      </c>
      <c r="B184" s="5" t="s">
        <v>25</v>
      </c>
      <c r="C184" s="1">
        <v>29</v>
      </c>
      <c r="D184" s="7">
        <v>1.1026615969581748E-2</v>
      </c>
      <c r="E184" s="1" t="s">
        <v>23</v>
      </c>
      <c r="F184" s="1">
        <v>1361</v>
      </c>
      <c r="G184" s="1">
        <v>95.959000000000003</v>
      </c>
    </row>
    <row r="185" spans="1:7">
      <c r="A185" s="1">
        <v>3</v>
      </c>
      <c r="B185" s="5" t="s">
        <v>25</v>
      </c>
      <c r="C185" s="1">
        <v>109</v>
      </c>
      <c r="D185" s="7">
        <v>4.144486692015209E-2</v>
      </c>
      <c r="E185" s="1" t="s">
        <v>28</v>
      </c>
      <c r="F185" s="1">
        <v>1203</v>
      </c>
      <c r="G185" s="1">
        <v>72.319000000000003</v>
      </c>
    </row>
    <row r="186" spans="1:7">
      <c r="A186" s="1">
        <v>3</v>
      </c>
      <c r="B186" s="5" t="s">
        <v>25</v>
      </c>
      <c r="C186" s="1">
        <v>55</v>
      </c>
      <c r="D186" s="7">
        <v>2.0912547528517109E-2</v>
      </c>
      <c r="E186" s="1" t="s">
        <v>34</v>
      </c>
      <c r="F186" s="1">
        <v>1407</v>
      </c>
      <c r="G186" s="1">
        <v>99.573999999999998</v>
      </c>
    </row>
    <row r="187" spans="1:7">
      <c r="A187" s="1">
        <v>3</v>
      </c>
      <c r="B187" s="5" t="s">
        <v>25</v>
      </c>
      <c r="C187" s="1">
        <v>28</v>
      </c>
      <c r="D187" s="7">
        <v>1.064638783269962E-2</v>
      </c>
      <c r="E187" s="1" t="s">
        <v>72</v>
      </c>
      <c r="F187" s="1">
        <v>1216</v>
      </c>
      <c r="G187" s="1">
        <v>70.311999999999998</v>
      </c>
    </row>
    <row r="188" spans="1:7">
      <c r="A188" s="1">
        <v>3</v>
      </c>
      <c r="B188" s="5" t="s">
        <v>25</v>
      </c>
      <c r="C188" s="1">
        <v>26</v>
      </c>
      <c r="D188" s="7">
        <v>9.8859315589353604E-3</v>
      </c>
      <c r="E188" s="1" t="s">
        <v>31</v>
      </c>
      <c r="F188" s="1">
        <v>1417</v>
      </c>
      <c r="G188" s="1">
        <v>84.191999999999993</v>
      </c>
    </row>
    <row r="189" spans="1:7">
      <c r="A189" s="1">
        <v>3</v>
      </c>
      <c r="B189" s="5" t="s">
        <v>25</v>
      </c>
      <c r="C189" s="1">
        <v>169</v>
      </c>
      <c r="D189" s="7">
        <v>6.4258555133079848E-2</v>
      </c>
      <c r="E189" s="1" t="s">
        <v>16</v>
      </c>
      <c r="F189" s="1">
        <v>1414</v>
      </c>
      <c r="G189" s="1">
        <v>96.04</v>
      </c>
    </row>
    <row r="190" spans="1:7">
      <c r="A190" s="1">
        <v>3</v>
      </c>
      <c r="B190" s="5" t="s">
        <v>25</v>
      </c>
      <c r="C190" s="1">
        <v>57</v>
      </c>
      <c r="D190" s="7">
        <v>2.167300380228137E-2</v>
      </c>
      <c r="E190" s="1" t="s">
        <v>48</v>
      </c>
      <c r="F190" s="1">
        <v>1464</v>
      </c>
      <c r="G190" s="1">
        <v>99.18</v>
      </c>
    </row>
    <row r="191" spans="1:7">
      <c r="A191" s="1">
        <v>3</v>
      </c>
      <c r="B191" s="5" t="s">
        <v>25</v>
      </c>
      <c r="C191" s="1">
        <v>70</v>
      </c>
      <c r="D191" s="7">
        <v>2.6615969581749048E-2</v>
      </c>
      <c r="E191" s="1" t="s">
        <v>73</v>
      </c>
      <c r="F191" s="1">
        <v>1454</v>
      </c>
      <c r="G191" s="1">
        <v>99.45</v>
      </c>
    </row>
    <row r="192" spans="1:7">
      <c r="A192" s="1">
        <v>3</v>
      </c>
      <c r="B192" s="5" t="s">
        <v>25</v>
      </c>
      <c r="C192" s="1">
        <v>500</v>
      </c>
      <c r="D192" s="7">
        <v>0.19011406844106463</v>
      </c>
      <c r="E192" s="1" t="s">
        <v>18</v>
      </c>
      <c r="F192" s="1">
        <v>1488</v>
      </c>
      <c r="G192" s="1">
        <v>97.647999999999996</v>
      </c>
    </row>
    <row r="193" spans="1:7">
      <c r="A193" s="1">
        <v>3</v>
      </c>
      <c r="B193" s="5" t="s">
        <v>25</v>
      </c>
      <c r="C193" s="1">
        <v>65</v>
      </c>
      <c r="D193" s="7">
        <v>2.4714828897338403E-2</v>
      </c>
      <c r="E193" s="1" t="s">
        <v>20</v>
      </c>
      <c r="F193" s="1">
        <v>1424</v>
      </c>
      <c r="G193" s="1">
        <v>99.718999999999994</v>
      </c>
    </row>
    <row r="194" spans="1:7">
      <c r="A194" s="1">
        <v>3</v>
      </c>
      <c r="B194" s="5" t="s">
        <v>25</v>
      </c>
      <c r="C194" s="1">
        <v>250</v>
      </c>
      <c r="D194" s="7">
        <v>9.5057034220532313E-2</v>
      </c>
      <c r="E194" s="1" t="s">
        <v>30</v>
      </c>
      <c r="F194" s="1">
        <v>1477</v>
      </c>
      <c r="G194" s="1">
        <v>96.072999999999993</v>
      </c>
    </row>
    <row r="195" spans="1:7">
      <c r="A195" s="13">
        <v>3</v>
      </c>
      <c r="B195" s="25" t="s">
        <v>25</v>
      </c>
      <c r="C195" s="13">
        <v>51</v>
      </c>
      <c r="D195" s="21">
        <v>1.9391634980988594E-2</v>
      </c>
      <c r="E195" s="13" t="s">
        <v>14</v>
      </c>
      <c r="F195" s="13">
        <v>1469</v>
      </c>
      <c r="G195" s="13">
        <v>90.537999999999997</v>
      </c>
    </row>
    <row r="196" spans="1:7">
      <c r="A196" s="2">
        <v>3</v>
      </c>
      <c r="B196" s="3" t="s">
        <v>74</v>
      </c>
      <c r="C196" s="2">
        <v>28</v>
      </c>
      <c r="D196" s="8">
        <v>9.5530535653360633E-3</v>
      </c>
      <c r="E196" s="2" t="s">
        <v>14</v>
      </c>
      <c r="F196" s="2">
        <v>1472</v>
      </c>
      <c r="G196" s="2">
        <v>90.557000000000002</v>
      </c>
    </row>
    <row r="197" spans="1:7">
      <c r="A197" s="2">
        <v>3</v>
      </c>
      <c r="B197" s="3" t="s">
        <v>33</v>
      </c>
      <c r="C197" s="2">
        <v>49</v>
      </c>
      <c r="D197" s="8">
        <v>1.6717843739338111E-2</v>
      </c>
      <c r="E197" s="2" t="s">
        <v>29</v>
      </c>
      <c r="F197" s="2">
        <v>1434</v>
      </c>
      <c r="G197" s="2">
        <v>93.724000000000004</v>
      </c>
    </row>
    <row r="198" spans="1:7">
      <c r="A198" s="2">
        <v>3</v>
      </c>
      <c r="B198" s="3" t="s">
        <v>33</v>
      </c>
      <c r="C198" s="2">
        <v>31</v>
      </c>
      <c r="D198" s="8">
        <v>1.0576595018764927E-2</v>
      </c>
      <c r="E198" s="2" t="s">
        <v>75</v>
      </c>
      <c r="F198" s="2">
        <v>1304</v>
      </c>
      <c r="G198" s="2">
        <v>100</v>
      </c>
    </row>
    <row r="199" spans="1:7">
      <c r="A199" s="2">
        <v>3</v>
      </c>
      <c r="B199" s="3" t="s">
        <v>33</v>
      </c>
      <c r="C199" s="2">
        <v>310</v>
      </c>
      <c r="D199" s="8">
        <v>0.10576595018764927</v>
      </c>
      <c r="E199" s="2" t="s">
        <v>28</v>
      </c>
      <c r="F199" s="2">
        <v>1203</v>
      </c>
      <c r="G199" s="2">
        <v>72.319000000000003</v>
      </c>
    </row>
    <row r="200" spans="1:7">
      <c r="A200" s="2">
        <v>3</v>
      </c>
      <c r="B200" s="3" t="s">
        <v>33</v>
      </c>
      <c r="C200" s="2">
        <v>28</v>
      </c>
      <c r="D200" s="8">
        <v>9.5530535653360633E-3</v>
      </c>
      <c r="E200" s="2" t="s">
        <v>9</v>
      </c>
      <c r="F200" s="2">
        <v>1455</v>
      </c>
      <c r="G200" s="2">
        <v>98.350999999999999</v>
      </c>
    </row>
    <row r="201" spans="1:7">
      <c r="A201" s="2">
        <v>3</v>
      </c>
      <c r="B201" s="3" t="s">
        <v>33</v>
      </c>
      <c r="C201" s="2">
        <v>171</v>
      </c>
      <c r="D201" s="8">
        <v>5.8341862845445243E-2</v>
      </c>
      <c r="E201" s="2" t="s">
        <v>24</v>
      </c>
      <c r="F201" s="2">
        <v>1429</v>
      </c>
      <c r="G201" s="2">
        <v>100</v>
      </c>
    </row>
    <row r="202" spans="1:7">
      <c r="A202" s="2">
        <v>3</v>
      </c>
      <c r="B202" s="3" t="s">
        <v>33</v>
      </c>
      <c r="C202" s="2">
        <v>593</v>
      </c>
      <c r="D202" s="8">
        <v>0.20232002729443876</v>
      </c>
      <c r="E202" s="2" t="s">
        <v>9</v>
      </c>
      <c r="F202" s="2">
        <v>1467</v>
      </c>
      <c r="G202" s="2">
        <v>98.909000000000006</v>
      </c>
    </row>
    <row r="203" spans="1:7">
      <c r="A203" s="2">
        <v>3</v>
      </c>
      <c r="B203" s="3" t="s">
        <v>33</v>
      </c>
      <c r="C203" s="2">
        <v>145</v>
      </c>
      <c r="D203" s="8">
        <v>4.9471170249061752E-2</v>
      </c>
      <c r="E203" s="2" t="s">
        <v>35</v>
      </c>
      <c r="F203" s="2">
        <v>297</v>
      </c>
      <c r="G203" s="2">
        <v>76.093999999999994</v>
      </c>
    </row>
    <row r="204" spans="1:7">
      <c r="A204" s="2">
        <v>3</v>
      </c>
      <c r="B204" s="3" t="s">
        <v>33</v>
      </c>
      <c r="C204" s="2">
        <v>276</v>
      </c>
      <c r="D204" s="8">
        <v>9.4165813715455474E-2</v>
      </c>
      <c r="E204" s="2" t="s">
        <v>18</v>
      </c>
      <c r="F204" s="2">
        <v>1489</v>
      </c>
      <c r="G204" s="2">
        <v>97.649000000000001</v>
      </c>
    </row>
    <row r="205" spans="1:7">
      <c r="A205" s="2">
        <v>3</v>
      </c>
      <c r="B205" s="3" t="s">
        <v>33</v>
      </c>
      <c r="C205" s="2">
        <v>179</v>
      </c>
      <c r="D205" s="8">
        <v>6.1071306721255547E-2</v>
      </c>
      <c r="E205" s="2" t="s">
        <v>16</v>
      </c>
      <c r="F205" s="2">
        <v>1414</v>
      </c>
      <c r="G205" s="2">
        <v>96.04</v>
      </c>
    </row>
    <row r="206" spans="1:7">
      <c r="A206" s="2">
        <v>3</v>
      </c>
      <c r="B206" s="3" t="s">
        <v>33</v>
      </c>
      <c r="C206" s="2">
        <v>141</v>
      </c>
      <c r="D206" s="8">
        <v>4.8106448311156604E-2</v>
      </c>
      <c r="E206" s="2" t="s">
        <v>15</v>
      </c>
      <c r="F206" s="2">
        <v>1381</v>
      </c>
      <c r="G206" s="2">
        <v>99.927999999999997</v>
      </c>
    </row>
    <row r="207" spans="1:7">
      <c r="A207" s="2">
        <v>3</v>
      </c>
      <c r="B207" s="3" t="s">
        <v>33</v>
      </c>
      <c r="C207" s="2">
        <v>88</v>
      </c>
      <c r="D207" s="8">
        <v>3.002388263391334E-2</v>
      </c>
      <c r="E207" s="2" t="s">
        <v>30</v>
      </c>
      <c r="F207" s="2">
        <v>1475</v>
      </c>
      <c r="G207" s="2">
        <v>96.067999999999998</v>
      </c>
    </row>
    <row r="208" spans="1:7">
      <c r="A208" s="2">
        <v>3</v>
      </c>
      <c r="B208" s="3" t="s">
        <v>33</v>
      </c>
      <c r="C208" s="2">
        <v>784</v>
      </c>
      <c r="D208" s="8">
        <v>0.26748549982940978</v>
      </c>
      <c r="E208" s="2" t="s">
        <v>76</v>
      </c>
      <c r="F208" s="2">
        <v>1447</v>
      </c>
      <c r="G208" s="2">
        <v>84.727000000000004</v>
      </c>
    </row>
    <row r="209" spans="1:7">
      <c r="A209" s="2">
        <v>3</v>
      </c>
      <c r="B209" s="3" t="s">
        <v>33</v>
      </c>
      <c r="C209" s="2">
        <v>78</v>
      </c>
      <c r="D209" s="8">
        <v>2.6612077789150462E-2</v>
      </c>
      <c r="E209" s="2" t="s">
        <v>21</v>
      </c>
      <c r="F209" s="2">
        <v>1325</v>
      </c>
      <c r="G209" s="2">
        <v>86.34</v>
      </c>
    </row>
    <row r="210" spans="1:7">
      <c r="A210" s="17">
        <v>3</v>
      </c>
      <c r="B210" s="18" t="s">
        <v>33</v>
      </c>
      <c r="C210" s="17">
        <v>30</v>
      </c>
      <c r="D210" s="19">
        <v>1.0235414534288639E-2</v>
      </c>
      <c r="E210" s="17" t="s">
        <v>77</v>
      </c>
      <c r="F210" s="17">
        <v>1407</v>
      </c>
      <c r="G210" s="17">
        <v>95.38</v>
      </c>
    </row>
    <row r="211" spans="1:7">
      <c r="A211" s="1">
        <v>3</v>
      </c>
      <c r="B211" s="5" t="s">
        <v>38</v>
      </c>
      <c r="C211" s="1">
        <v>110</v>
      </c>
      <c r="D211" s="7">
        <v>4.3633478778262597E-2</v>
      </c>
      <c r="E211" s="1" t="s">
        <v>24</v>
      </c>
      <c r="F211" s="1">
        <v>1429</v>
      </c>
      <c r="G211" s="1">
        <v>100</v>
      </c>
    </row>
    <row r="212" spans="1:7">
      <c r="A212" s="1">
        <v>3</v>
      </c>
      <c r="B212" s="5" t="s">
        <v>38</v>
      </c>
      <c r="C212" s="1">
        <v>35</v>
      </c>
      <c r="D212" s="7">
        <v>1.3883379611265371E-2</v>
      </c>
      <c r="E212" s="1" t="s">
        <v>10</v>
      </c>
      <c r="F212" s="1">
        <v>1468</v>
      </c>
      <c r="G212" s="1">
        <v>95.912999999999997</v>
      </c>
    </row>
    <row r="213" spans="1:7">
      <c r="A213" s="1">
        <v>3</v>
      </c>
      <c r="B213" s="5" t="s">
        <v>38</v>
      </c>
      <c r="C213" s="1">
        <v>101</v>
      </c>
      <c r="D213" s="7">
        <v>4.0063466878222931E-2</v>
      </c>
      <c r="E213" s="1" t="s">
        <v>16</v>
      </c>
      <c r="F213" s="1">
        <v>1316</v>
      </c>
      <c r="G213" s="1">
        <v>96.277000000000001</v>
      </c>
    </row>
    <row r="214" spans="1:7">
      <c r="A214" s="1">
        <v>3</v>
      </c>
      <c r="B214" s="5" t="s">
        <v>38</v>
      </c>
      <c r="C214" s="1">
        <v>116</v>
      </c>
      <c r="D214" s="7">
        <v>4.6013486711622371E-2</v>
      </c>
      <c r="E214" s="1" t="s">
        <v>32</v>
      </c>
      <c r="F214" s="1">
        <v>1423</v>
      </c>
      <c r="G214" s="1">
        <v>99.93</v>
      </c>
    </row>
    <row r="215" spans="1:7">
      <c r="A215" s="1">
        <v>3</v>
      </c>
      <c r="B215" s="5" t="s">
        <v>38</v>
      </c>
      <c r="C215" s="1">
        <v>36</v>
      </c>
      <c r="D215" s="7">
        <v>1.4280047600158666E-2</v>
      </c>
      <c r="E215" s="1" t="s">
        <v>78</v>
      </c>
      <c r="F215" s="1">
        <v>1239</v>
      </c>
      <c r="G215" s="1">
        <v>94.915000000000006</v>
      </c>
    </row>
    <row r="216" spans="1:7">
      <c r="A216" s="1">
        <v>3</v>
      </c>
      <c r="B216" s="5" t="s">
        <v>38</v>
      </c>
      <c r="C216" s="1">
        <v>207</v>
      </c>
      <c r="D216" s="7">
        <v>8.211027370091234E-2</v>
      </c>
      <c r="E216" s="1" t="s">
        <v>23</v>
      </c>
      <c r="F216" s="1">
        <v>1424</v>
      </c>
      <c r="G216" s="1">
        <v>96.066999999999993</v>
      </c>
    </row>
    <row r="217" spans="1:7">
      <c r="A217" s="1">
        <v>3</v>
      </c>
      <c r="B217" s="5" t="s">
        <v>38</v>
      </c>
      <c r="C217" s="1">
        <v>26</v>
      </c>
      <c r="D217" s="7">
        <v>1.0313367711225704E-2</v>
      </c>
      <c r="E217" s="1" t="s">
        <v>28</v>
      </c>
      <c r="F217" s="1">
        <v>1158</v>
      </c>
      <c r="G217" s="1">
        <v>72.28</v>
      </c>
    </row>
    <row r="218" spans="1:7">
      <c r="A218" s="1">
        <v>3</v>
      </c>
      <c r="B218" s="5" t="s">
        <v>38</v>
      </c>
      <c r="C218" s="1">
        <v>384</v>
      </c>
      <c r="D218" s="7">
        <v>0.15232050773502578</v>
      </c>
      <c r="E218" s="1" t="s">
        <v>16</v>
      </c>
      <c r="F218" s="1">
        <v>1415</v>
      </c>
      <c r="G218" s="1">
        <v>96.042000000000002</v>
      </c>
    </row>
    <row r="219" spans="1:7">
      <c r="A219" s="1">
        <v>3</v>
      </c>
      <c r="B219" s="5" t="s">
        <v>38</v>
      </c>
      <c r="C219" s="1">
        <v>95</v>
      </c>
      <c r="D219" s="7">
        <v>3.7683458944863149E-2</v>
      </c>
      <c r="E219" s="1" t="s">
        <v>27</v>
      </c>
      <c r="F219" s="1">
        <v>1468</v>
      </c>
      <c r="G219" s="1">
        <v>93.528999999999996</v>
      </c>
    </row>
    <row r="220" spans="1:7">
      <c r="A220" s="1">
        <v>3</v>
      </c>
      <c r="B220" s="5" t="s">
        <v>38</v>
      </c>
      <c r="C220" s="1">
        <v>202</v>
      </c>
      <c r="D220" s="7">
        <v>8.0126933756445862E-2</v>
      </c>
      <c r="E220" s="1" t="s">
        <v>28</v>
      </c>
      <c r="F220" s="1">
        <v>1203</v>
      </c>
      <c r="G220" s="1">
        <v>72.319000000000003</v>
      </c>
    </row>
    <row r="221" spans="1:7">
      <c r="A221" s="1">
        <v>3</v>
      </c>
      <c r="B221" s="5" t="s">
        <v>38</v>
      </c>
      <c r="C221" s="1">
        <v>33</v>
      </c>
      <c r="D221" s="7">
        <v>1.3090043633478779E-2</v>
      </c>
      <c r="E221" s="1" t="s">
        <v>15</v>
      </c>
      <c r="F221" s="1">
        <v>1301</v>
      </c>
      <c r="G221" s="1">
        <v>99.846000000000004</v>
      </c>
    </row>
    <row r="222" spans="1:7">
      <c r="A222" s="1">
        <v>3</v>
      </c>
      <c r="B222" s="5" t="s">
        <v>38</v>
      </c>
      <c r="C222" s="1">
        <v>136</v>
      </c>
      <c r="D222" s="7">
        <v>5.3946846489488297E-2</v>
      </c>
      <c r="E222" s="1" t="s">
        <v>20</v>
      </c>
      <c r="F222" s="1">
        <v>1422</v>
      </c>
      <c r="G222" s="1">
        <v>99.718999999999994</v>
      </c>
    </row>
    <row r="223" spans="1:7">
      <c r="A223" s="1">
        <v>3</v>
      </c>
      <c r="B223" s="5" t="s">
        <v>38</v>
      </c>
      <c r="C223" s="1">
        <v>43</v>
      </c>
      <c r="D223" s="7">
        <v>1.7056723522411742E-2</v>
      </c>
      <c r="E223" s="1" t="s">
        <v>28</v>
      </c>
      <c r="F223" s="1">
        <v>1203</v>
      </c>
      <c r="G223" s="1">
        <v>72.319000000000003</v>
      </c>
    </row>
    <row r="224" spans="1:7">
      <c r="A224" s="1">
        <v>3</v>
      </c>
      <c r="B224" s="5" t="s">
        <v>38</v>
      </c>
      <c r="C224" s="1">
        <v>43</v>
      </c>
      <c r="D224" s="7">
        <v>1.7056723522411742E-2</v>
      </c>
      <c r="E224" s="1" t="s">
        <v>79</v>
      </c>
      <c r="F224" s="1">
        <v>1219</v>
      </c>
      <c r="G224" s="1">
        <v>69.811000000000007</v>
      </c>
    </row>
    <row r="225" spans="1:7">
      <c r="A225" s="1">
        <v>3</v>
      </c>
      <c r="B225" s="5" t="s">
        <v>38</v>
      </c>
      <c r="C225" s="1">
        <v>30</v>
      </c>
      <c r="D225" s="7">
        <v>1.190003966679889E-2</v>
      </c>
      <c r="E225" s="1" t="s">
        <v>34</v>
      </c>
      <c r="F225" s="1">
        <v>1295</v>
      </c>
      <c r="G225" s="1">
        <v>99.768000000000001</v>
      </c>
    </row>
    <row r="226" spans="1:7">
      <c r="A226" s="1">
        <v>3</v>
      </c>
      <c r="B226" s="5" t="s">
        <v>38</v>
      </c>
      <c r="C226" s="1">
        <v>263</v>
      </c>
      <c r="D226" s="7">
        <v>0.10432368107893693</v>
      </c>
      <c r="E226" s="1" t="s">
        <v>15</v>
      </c>
      <c r="F226" s="1">
        <v>1381</v>
      </c>
      <c r="G226" s="1">
        <v>99.927999999999997</v>
      </c>
    </row>
    <row r="227" spans="1:7">
      <c r="A227" s="1">
        <v>3</v>
      </c>
      <c r="B227" s="5" t="s">
        <v>38</v>
      </c>
      <c r="C227" s="1">
        <v>99</v>
      </c>
      <c r="D227" s="7">
        <v>3.9270130900436337E-2</v>
      </c>
      <c r="E227" s="1" t="s">
        <v>34</v>
      </c>
      <c r="F227" s="1">
        <v>1425</v>
      </c>
      <c r="G227" s="1">
        <v>99.578999999999994</v>
      </c>
    </row>
    <row r="228" spans="1:7">
      <c r="A228" s="1">
        <v>3</v>
      </c>
      <c r="B228" s="5" t="s">
        <v>38</v>
      </c>
      <c r="C228" s="1">
        <v>56</v>
      </c>
      <c r="D228" s="7">
        <v>2.2213407378024592E-2</v>
      </c>
      <c r="E228" s="1" t="s">
        <v>21</v>
      </c>
      <c r="F228" s="1">
        <v>1392</v>
      </c>
      <c r="G228" s="1">
        <v>85.489000000000004</v>
      </c>
    </row>
    <row r="229" spans="1:7">
      <c r="A229" s="1">
        <v>3</v>
      </c>
      <c r="B229" s="5" t="s">
        <v>38</v>
      </c>
      <c r="C229" s="1">
        <v>28</v>
      </c>
      <c r="D229" s="7">
        <v>1.1106703689012296E-2</v>
      </c>
      <c r="E229" s="1" t="s">
        <v>80</v>
      </c>
      <c r="F229" s="1">
        <v>1467</v>
      </c>
      <c r="G229" s="1">
        <v>99.864000000000004</v>
      </c>
    </row>
    <row r="230" spans="1:7">
      <c r="A230" s="1">
        <v>3</v>
      </c>
      <c r="B230" s="5" t="s">
        <v>38</v>
      </c>
      <c r="C230" s="1">
        <v>69</v>
      </c>
      <c r="D230" s="7">
        <v>2.7370091233637445E-2</v>
      </c>
      <c r="E230" s="1" t="s">
        <v>35</v>
      </c>
      <c r="F230" s="1">
        <v>297</v>
      </c>
      <c r="G230" s="1">
        <v>76.093999999999994</v>
      </c>
    </row>
    <row r="231" spans="1:7">
      <c r="A231" s="1">
        <v>3</v>
      </c>
      <c r="B231" s="5" t="s">
        <v>38</v>
      </c>
      <c r="C231" s="1">
        <v>90</v>
      </c>
      <c r="D231" s="7">
        <v>3.5700119000396671E-2</v>
      </c>
      <c r="E231" s="1" t="s">
        <v>9</v>
      </c>
      <c r="F231" s="1">
        <v>1467</v>
      </c>
      <c r="G231" s="1">
        <v>98.909000000000006</v>
      </c>
    </row>
    <row r="232" spans="1:7">
      <c r="A232" s="1">
        <v>3</v>
      </c>
      <c r="B232" s="5" t="s">
        <v>38</v>
      </c>
      <c r="C232" s="1">
        <v>140</v>
      </c>
      <c r="D232" s="7">
        <v>5.5533518445061485E-2</v>
      </c>
      <c r="E232" s="1" t="s">
        <v>18</v>
      </c>
      <c r="F232" s="1">
        <v>1486</v>
      </c>
      <c r="G232" s="1">
        <v>97.644999999999996</v>
      </c>
    </row>
    <row r="233" spans="1:7">
      <c r="A233" s="1">
        <v>3</v>
      </c>
      <c r="B233" s="5" t="s">
        <v>38</v>
      </c>
      <c r="C233" s="1">
        <v>63</v>
      </c>
      <c r="D233" s="7">
        <v>2.4990083300277667E-2</v>
      </c>
      <c r="E233" s="1" t="s">
        <v>23</v>
      </c>
      <c r="F233" s="1">
        <v>1326</v>
      </c>
      <c r="G233" s="1">
        <v>96.228999999999999</v>
      </c>
    </row>
    <row r="234" spans="1:7">
      <c r="A234" s="13">
        <v>3</v>
      </c>
      <c r="B234" s="25" t="s">
        <v>38</v>
      </c>
      <c r="C234" s="13">
        <v>116</v>
      </c>
      <c r="D234" s="21">
        <v>4.6013486711622371E-2</v>
      </c>
      <c r="E234" s="13" t="s">
        <v>30</v>
      </c>
      <c r="F234" s="13">
        <v>1477</v>
      </c>
      <c r="G234" s="13">
        <v>96.072999999999993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BF6E0-DBCF-0649-9F3C-99F64C385B58}">
  <dimension ref="A1:G97"/>
  <sheetViews>
    <sheetView topLeftCell="A4" zoomScaleNormal="68" workbookViewId="0">
      <selection activeCell="E69" sqref="E69"/>
    </sheetView>
  </sheetViews>
  <sheetFormatPr baseColWidth="10" defaultRowHeight="20"/>
  <cols>
    <col min="1" max="1" width="15" style="1" bestFit="1" customWidth="1"/>
    <col min="2" max="2" width="22.85546875" style="1" bestFit="1" customWidth="1"/>
    <col min="3" max="3" width="15" style="1" bestFit="1" customWidth="1"/>
    <col min="4" max="4" width="15" style="1" customWidth="1"/>
    <col min="5" max="5" width="41.7109375" style="1" bestFit="1" customWidth="1"/>
    <col min="6" max="7" width="10.7109375" style="1"/>
  </cols>
  <sheetData>
    <row r="1" spans="1:7">
      <c r="A1" s="15" t="s">
        <v>0</v>
      </c>
      <c r="B1" s="15" t="s">
        <v>1</v>
      </c>
      <c r="C1" s="15" t="s">
        <v>2</v>
      </c>
      <c r="D1" s="15" t="s">
        <v>101</v>
      </c>
      <c r="E1" s="15" t="s">
        <v>105</v>
      </c>
      <c r="F1" s="15" t="s">
        <v>4</v>
      </c>
      <c r="G1" s="15" t="s">
        <v>5</v>
      </c>
    </row>
    <row r="2" spans="1:7">
      <c r="A2" s="2">
        <v>1</v>
      </c>
      <c r="B2" s="3" t="s">
        <v>103</v>
      </c>
      <c r="C2" s="2">
        <v>187</v>
      </c>
      <c r="D2" s="8">
        <v>7.3419709462112293E-2</v>
      </c>
      <c r="E2" s="2" t="s">
        <v>92</v>
      </c>
      <c r="F2" s="2" t="s">
        <v>81</v>
      </c>
      <c r="G2" s="2" t="s">
        <v>81</v>
      </c>
    </row>
    <row r="3" spans="1:7">
      <c r="A3" s="2">
        <v>1</v>
      </c>
      <c r="B3" s="3" t="s">
        <v>103</v>
      </c>
      <c r="C3" s="2">
        <v>156</v>
      </c>
      <c r="D3" s="8">
        <v>6.1248527679623084E-2</v>
      </c>
      <c r="E3" s="2" t="s">
        <v>10</v>
      </c>
      <c r="F3" s="2">
        <v>1481</v>
      </c>
      <c r="G3" s="2">
        <v>95.948999999999998</v>
      </c>
    </row>
    <row r="4" spans="1:7">
      <c r="A4" s="2">
        <v>1</v>
      </c>
      <c r="B4" s="3" t="s">
        <v>102</v>
      </c>
      <c r="C4" s="2">
        <v>138</v>
      </c>
      <c r="D4" s="8">
        <v>5.418138987043581E-2</v>
      </c>
      <c r="E4" s="2" t="s">
        <v>9</v>
      </c>
      <c r="F4" s="2">
        <v>1462</v>
      </c>
      <c r="G4" s="2">
        <v>98.906000000000006</v>
      </c>
    </row>
    <row r="5" spans="1:7">
      <c r="A5" s="2">
        <v>1</v>
      </c>
      <c r="B5" s="3" t="s">
        <v>102</v>
      </c>
      <c r="C5" s="2">
        <v>638</v>
      </c>
      <c r="D5" s="8">
        <v>0.25049077345897136</v>
      </c>
      <c r="E5" s="2" t="s">
        <v>16</v>
      </c>
      <c r="F5" s="2">
        <v>1414</v>
      </c>
      <c r="G5" s="2">
        <v>96.04</v>
      </c>
    </row>
    <row r="6" spans="1:7">
      <c r="A6" s="2">
        <v>1</v>
      </c>
      <c r="B6" s="3" t="s">
        <v>102</v>
      </c>
      <c r="C6" s="2">
        <v>102</v>
      </c>
      <c r="D6" s="8">
        <v>4.0047114252061249E-2</v>
      </c>
      <c r="E6" s="2" t="s">
        <v>96</v>
      </c>
      <c r="F6" s="2">
        <v>1237</v>
      </c>
      <c r="G6" s="2">
        <v>80.355999999999995</v>
      </c>
    </row>
    <row r="7" spans="1:7">
      <c r="A7" s="2">
        <v>1</v>
      </c>
      <c r="B7" s="3" t="s">
        <v>102</v>
      </c>
      <c r="C7" s="2">
        <v>154</v>
      </c>
      <c r="D7" s="8">
        <v>6.0463290145268946E-2</v>
      </c>
      <c r="E7" s="2" t="s">
        <v>20</v>
      </c>
      <c r="F7" s="2">
        <v>1415</v>
      </c>
      <c r="G7" s="2">
        <v>99.716999999999999</v>
      </c>
    </row>
    <row r="8" spans="1:7">
      <c r="A8" s="2">
        <v>1</v>
      </c>
      <c r="B8" s="3" t="s">
        <v>102</v>
      </c>
      <c r="C8" s="2">
        <v>219</v>
      </c>
      <c r="D8" s="8">
        <v>8.5983510011778563E-2</v>
      </c>
      <c r="E8" s="2" t="s">
        <v>16</v>
      </c>
      <c r="F8" s="2">
        <v>1317</v>
      </c>
      <c r="G8" s="2">
        <v>96.278999999999996</v>
      </c>
    </row>
    <row r="9" spans="1:7">
      <c r="A9" s="2">
        <v>1</v>
      </c>
      <c r="B9" s="3" t="s">
        <v>102</v>
      </c>
      <c r="C9" s="2">
        <v>179</v>
      </c>
      <c r="D9" s="8">
        <v>7.0278759324695725E-2</v>
      </c>
      <c r="E9" s="2" t="s">
        <v>8</v>
      </c>
      <c r="F9" s="2">
        <v>1475</v>
      </c>
      <c r="G9" s="2">
        <v>97.694999999999993</v>
      </c>
    </row>
    <row r="10" spans="1:7">
      <c r="A10" s="2">
        <v>1</v>
      </c>
      <c r="B10" s="3" t="s">
        <v>102</v>
      </c>
      <c r="C10" s="2">
        <v>532</v>
      </c>
      <c r="D10" s="8">
        <v>0.2088731841382018</v>
      </c>
      <c r="E10" s="2" t="s">
        <v>15</v>
      </c>
      <c r="F10" s="2">
        <v>1381</v>
      </c>
      <c r="G10" s="2">
        <v>99.927999999999997</v>
      </c>
    </row>
    <row r="11" spans="1:7">
      <c r="A11" s="17">
        <v>1</v>
      </c>
      <c r="B11" s="18" t="s">
        <v>102</v>
      </c>
      <c r="C11" s="17">
        <v>242</v>
      </c>
      <c r="D11" s="19">
        <v>9.5013741656851197E-2</v>
      </c>
      <c r="E11" s="17" t="s">
        <v>24</v>
      </c>
      <c r="F11" s="17">
        <v>1429</v>
      </c>
      <c r="G11" s="17">
        <v>100</v>
      </c>
    </row>
    <row r="12" spans="1:7">
      <c r="A12" s="1">
        <v>1</v>
      </c>
      <c r="B12" s="4" t="s">
        <v>25</v>
      </c>
      <c r="C12" s="1">
        <v>557</v>
      </c>
      <c r="D12" s="7">
        <v>0.24039706517047907</v>
      </c>
      <c r="E12" s="1" t="s">
        <v>18</v>
      </c>
      <c r="F12" s="1">
        <v>1487</v>
      </c>
      <c r="G12" s="1">
        <v>97.646000000000001</v>
      </c>
    </row>
    <row r="13" spans="1:7">
      <c r="A13" s="1">
        <v>1</v>
      </c>
      <c r="B13" s="4" t="s">
        <v>25</v>
      </c>
      <c r="C13" s="1">
        <v>472</v>
      </c>
      <c r="D13" s="7">
        <v>0.20371169615882606</v>
      </c>
      <c r="E13" s="9" t="s">
        <v>84</v>
      </c>
      <c r="F13" s="1">
        <v>1504</v>
      </c>
      <c r="G13" s="1">
        <v>89.495000000000005</v>
      </c>
    </row>
    <row r="14" spans="1:7">
      <c r="A14" s="1">
        <v>1</v>
      </c>
      <c r="B14" s="4" t="s">
        <v>25</v>
      </c>
      <c r="C14" s="1">
        <v>585</v>
      </c>
      <c r="D14" s="7">
        <v>0.25248165731549416</v>
      </c>
      <c r="E14" s="1" t="s">
        <v>79</v>
      </c>
      <c r="F14" s="1">
        <v>1206</v>
      </c>
      <c r="G14" s="1">
        <v>74.378</v>
      </c>
    </row>
    <row r="15" spans="1:7">
      <c r="A15" s="1">
        <v>1</v>
      </c>
      <c r="B15" s="4" t="s">
        <v>25</v>
      </c>
      <c r="C15" s="1">
        <v>374</v>
      </c>
      <c r="D15" s="7">
        <v>0.16141562365127321</v>
      </c>
      <c r="E15" s="1" t="s">
        <v>30</v>
      </c>
      <c r="F15" s="1">
        <v>1472</v>
      </c>
      <c r="G15" s="1">
        <v>96.06</v>
      </c>
    </row>
    <row r="16" spans="1:7">
      <c r="A16" s="13">
        <v>1</v>
      </c>
      <c r="B16" s="20" t="s">
        <v>25</v>
      </c>
      <c r="C16" s="13">
        <v>329</v>
      </c>
      <c r="D16" s="21">
        <v>0.1419939577039275</v>
      </c>
      <c r="E16" s="13" t="s">
        <v>9</v>
      </c>
      <c r="F16" s="13">
        <v>1467</v>
      </c>
      <c r="G16" s="13">
        <v>98.909000000000006</v>
      </c>
    </row>
    <row r="17" spans="1:7">
      <c r="A17" s="2">
        <v>1</v>
      </c>
      <c r="B17" s="3" t="s">
        <v>33</v>
      </c>
      <c r="C17" s="2">
        <v>562</v>
      </c>
      <c r="D17" s="8">
        <v>0.25258426966292136</v>
      </c>
      <c r="E17" s="2" t="s">
        <v>9</v>
      </c>
      <c r="F17" s="2">
        <v>1459</v>
      </c>
      <c r="G17" s="2">
        <v>98.903000000000006</v>
      </c>
    </row>
    <row r="18" spans="1:7">
      <c r="A18" s="2">
        <v>1</v>
      </c>
      <c r="B18" s="3" t="s">
        <v>33</v>
      </c>
      <c r="C18" s="2">
        <v>251</v>
      </c>
      <c r="D18" s="8">
        <v>0.11280898876404494</v>
      </c>
      <c r="E18" s="2" t="s">
        <v>28</v>
      </c>
      <c r="F18" s="2">
        <v>1203</v>
      </c>
      <c r="G18" s="2">
        <v>72.319000000000003</v>
      </c>
    </row>
    <row r="19" spans="1:7">
      <c r="A19" s="2">
        <v>1</v>
      </c>
      <c r="B19" s="3" t="s">
        <v>33</v>
      </c>
      <c r="C19" s="2">
        <v>208</v>
      </c>
      <c r="D19" s="8">
        <v>9.3483146067415729E-2</v>
      </c>
      <c r="E19" s="2" t="s">
        <v>34</v>
      </c>
      <c r="F19" s="2">
        <v>1427</v>
      </c>
      <c r="G19" s="2">
        <v>99.58</v>
      </c>
    </row>
    <row r="20" spans="1:7">
      <c r="A20" s="2">
        <v>1</v>
      </c>
      <c r="B20" s="3" t="s">
        <v>33</v>
      </c>
      <c r="C20" s="2">
        <v>165</v>
      </c>
      <c r="D20" s="8">
        <v>7.415730337078652E-2</v>
      </c>
      <c r="E20" s="2" t="s">
        <v>15</v>
      </c>
      <c r="F20" s="2">
        <v>1381</v>
      </c>
      <c r="G20" s="2">
        <v>99.927999999999997</v>
      </c>
    </row>
    <row r="21" spans="1:7">
      <c r="A21" s="2">
        <v>1</v>
      </c>
      <c r="B21" s="3" t="s">
        <v>33</v>
      </c>
      <c r="C21" s="2">
        <v>314</v>
      </c>
      <c r="D21" s="8">
        <v>0.14112359550561798</v>
      </c>
      <c r="E21" s="2" t="s">
        <v>18</v>
      </c>
      <c r="F21" s="2">
        <v>1480</v>
      </c>
      <c r="G21" s="2">
        <v>97.635000000000005</v>
      </c>
    </row>
    <row r="22" spans="1:7">
      <c r="A22" s="2">
        <v>1</v>
      </c>
      <c r="B22" s="3" t="s">
        <v>33</v>
      </c>
      <c r="C22" s="2">
        <v>203</v>
      </c>
      <c r="D22" s="8">
        <v>9.1235955056179777E-2</v>
      </c>
      <c r="E22" s="2" t="s">
        <v>16</v>
      </c>
      <c r="F22" s="2">
        <v>1416</v>
      </c>
      <c r="G22" s="2">
        <v>96.045000000000002</v>
      </c>
    </row>
    <row r="23" spans="1:7">
      <c r="A23" s="2">
        <v>1</v>
      </c>
      <c r="B23" s="3" t="s">
        <v>33</v>
      </c>
      <c r="C23" s="2">
        <v>243</v>
      </c>
      <c r="D23" s="8">
        <v>0.10921348314606742</v>
      </c>
      <c r="E23" s="2" t="s">
        <v>30</v>
      </c>
      <c r="F23" s="2">
        <v>1478</v>
      </c>
      <c r="G23" s="2">
        <v>96.143000000000001</v>
      </c>
    </row>
    <row r="24" spans="1:7">
      <c r="A24" s="17">
        <v>1</v>
      </c>
      <c r="B24" s="18" t="s">
        <v>33</v>
      </c>
      <c r="C24" s="17">
        <v>279</v>
      </c>
      <c r="D24" s="19">
        <v>0.1253932584269663</v>
      </c>
      <c r="E24" s="17" t="s">
        <v>24</v>
      </c>
      <c r="F24" s="17">
        <v>1420</v>
      </c>
      <c r="G24" s="17">
        <v>100</v>
      </c>
    </row>
    <row r="25" spans="1:7">
      <c r="A25" s="1">
        <v>1</v>
      </c>
      <c r="B25" s="4" t="s">
        <v>38</v>
      </c>
      <c r="C25" s="1">
        <v>144</v>
      </c>
      <c r="D25" s="7">
        <v>6.3943161634103018E-2</v>
      </c>
      <c r="E25" s="1" t="s">
        <v>18</v>
      </c>
      <c r="F25" s="1">
        <v>1474</v>
      </c>
      <c r="G25" s="1">
        <v>97.626000000000005</v>
      </c>
    </row>
    <row r="26" spans="1:7">
      <c r="A26" s="1">
        <v>1</v>
      </c>
      <c r="B26" s="4" t="s">
        <v>38</v>
      </c>
      <c r="C26" s="1">
        <v>306</v>
      </c>
      <c r="D26" s="7">
        <v>0.13587921847246892</v>
      </c>
      <c r="E26" s="1" t="s">
        <v>15</v>
      </c>
      <c r="F26" s="1">
        <v>1381</v>
      </c>
      <c r="G26" s="1">
        <v>99.927999999999997</v>
      </c>
    </row>
    <row r="27" spans="1:7">
      <c r="A27" s="1">
        <v>1</v>
      </c>
      <c r="B27" s="4" t="s">
        <v>38</v>
      </c>
      <c r="C27" s="1">
        <v>262</v>
      </c>
      <c r="D27" s="7">
        <v>0.11634103019538189</v>
      </c>
      <c r="E27" s="1" t="s">
        <v>92</v>
      </c>
      <c r="F27" s="1" t="s">
        <v>81</v>
      </c>
      <c r="G27" s="1" t="s">
        <v>81</v>
      </c>
    </row>
    <row r="28" spans="1:7">
      <c r="A28" s="1">
        <v>1</v>
      </c>
      <c r="B28" s="4" t="s">
        <v>38</v>
      </c>
      <c r="C28" s="1">
        <v>233</v>
      </c>
      <c r="D28" s="7">
        <v>0.10346358792184725</v>
      </c>
      <c r="E28" s="1" t="s">
        <v>16</v>
      </c>
      <c r="F28" s="1">
        <v>1316</v>
      </c>
      <c r="G28" s="1">
        <v>96.277000000000001</v>
      </c>
    </row>
    <row r="29" spans="1:7">
      <c r="A29" s="1">
        <v>1</v>
      </c>
      <c r="B29" s="4" t="s">
        <v>38</v>
      </c>
      <c r="C29" s="1">
        <v>319</v>
      </c>
      <c r="D29" s="7">
        <v>0.14165186500888099</v>
      </c>
      <c r="E29" s="1" t="s">
        <v>94</v>
      </c>
      <c r="F29" s="1">
        <v>1426</v>
      </c>
      <c r="G29" s="1">
        <v>99.578999999999994</v>
      </c>
    </row>
    <row r="30" spans="1:7">
      <c r="A30" s="1">
        <v>1</v>
      </c>
      <c r="B30" s="4" t="s">
        <v>38</v>
      </c>
      <c r="C30" s="1">
        <v>545</v>
      </c>
      <c r="D30" s="7">
        <v>0.24200710479573712</v>
      </c>
      <c r="E30" s="1" t="s">
        <v>16</v>
      </c>
      <c r="F30" s="1">
        <v>1416</v>
      </c>
      <c r="G30" s="1">
        <v>96.045000000000002</v>
      </c>
    </row>
    <row r="31" spans="1:7">
      <c r="A31" s="1">
        <v>1</v>
      </c>
      <c r="B31" s="4" t="s">
        <v>38</v>
      </c>
      <c r="C31" s="1">
        <v>136</v>
      </c>
      <c r="D31" s="7">
        <v>6.0390763765541741E-2</v>
      </c>
      <c r="E31" s="1" t="s">
        <v>23</v>
      </c>
      <c r="F31" s="1">
        <v>1424</v>
      </c>
      <c r="G31" s="1">
        <v>96.066999999999993</v>
      </c>
    </row>
    <row r="32" spans="1:7">
      <c r="A32" s="13">
        <v>1</v>
      </c>
      <c r="B32" s="20" t="s">
        <v>38</v>
      </c>
      <c r="C32" s="13">
        <v>307</v>
      </c>
      <c r="D32" s="21">
        <v>0.13632326820603907</v>
      </c>
      <c r="E32" s="13" t="s">
        <v>24</v>
      </c>
      <c r="F32" s="13">
        <v>1427</v>
      </c>
      <c r="G32" s="13">
        <v>100</v>
      </c>
    </row>
    <row r="33" spans="1:7">
      <c r="A33" s="2">
        <v>2</v>
      </c>
      <c r="B33" s="3" t="s">
        <v>103</v>
      </c>
      <c r="C33" s="2">
        <v>111</v>
      </c>
      <c r="D33" s="8">
        <v>0.2</v>
      </c>
      <c r="E33" s="2" t="s">
        <v>9</v>
      </c>
      <c r="F33" s="2">
        <v>1465</v>
      </c>
      <c r="G33" s="2">
        <v>98.908000000000001</v>
      </c>
    </row>
    <row r="34" spans="1:7">
      <c r="A34" s="2">
        <v>2</v>
      </c>
      <c r="B34" s="3" t="s">
        <v>103</v>
      </c>
      <c r="C34" s="2">
        <v>227</v>
      </c>
      <c r="D34" s="8">
        <v>0.40900900900900899</v>
      </c>
      <c r="E34" s="2" t="s">
        <v>92</v>
      </c>
      <c r="F34" s="2" t="s">
        <v>81</v>
      </c>
      <c r="G34" s="2" t="s">
        <v>81</v>
      </c>
    </row>
    <row r="35" spans="1:7">
      <c r="A35" s="17">
        <v>2</v>
      </c>
      <c r="B35" s="18" t="s">
        <v>102</v>
      </c>
      <c r="C35" s="17">
        <v>217</v>
      </c>
      <c r="D35" s="19">
        <v>0.39099099099099099</v>
      </c>
      <c r="E35" s="17" t="s">
        <v>23</v>
      </c>
      <c r="F35" s="17">
        <v>1421</v>
      </c>
      <c r="G35" s="17">
        <v>95.989000000000004</v>
      </c>
    </row>
    <row r="36" spans="1:7">
      <c r="A36" s="1">
        <v>2</v>
      </c>
      <c r="B36" s="4" t="s">
        <v>25</v>
      </c>
      <c r="C36" s="1">
        <v>171</v>
      </c>
      <c r="D36" s="7">
        <v>8.11965811965812E-2</v>
      </c>
      <c r="E36" s="1" t="s">
        <v>27</v>
      </c>
      <c r="F36" s="1">
        <v>1483</v>
      </c>
      <c r="G36" s="1">
        <v>86.784000000000006</v>
      </c>
    </row>
    <row r="37" spans="1:7">
      <c r="A37" s="1">
        <v>2</v>
      </c>
      <c r="B37" s="4" t="s">
        <v>25</v>
      </c>
      <c r="C37" s="1">
        <v>139</v>
      </c>
      <c r="D37" s="7">
        <v>6.6001899335232664E-2</v>
      </c>
      <c r="E37" s="1" t="s">
        <v>30</v>
      </c>
      <c r="F37" s="1">
        <v>1478</v>
      </c>
      <c r="G37" s="1">
        <v>96.143000000000001</v>
      </c>
    </row>
    <row r="38" spans="1:7">
      <c r="A38" s="1">
        <v>2</v>
      </c>
      <c r="B38" s="4" t="s">
        <v>25</v>
      </c>
      <c r="C38" s="1">
        <v>270</v>
      </c>
      <c r="D38" s="7">
        <v>0.12820512820512819</v>
      </c>
      <c r="E38" s="1" t="s">
        <v>9</v>
      </c>
      <c r="F38" s="1">
        <v>1464</v>
      </c>
      <c r="G38" s="1">
        <v>98.906999999999996</v>
      </c>
    </row>
    <row r="39" spans="1:7">
      <c r="A39" s="1">
        <v>2</v>
      </c>
      <c r="B39" s="4" t="s">
        <v>25</v>
      </c>
      <c r="C39" s="1">
        <v>429</v>
      </c>
      <c r="D39" s="7">
        <v>0.20370370370370369</v>
      </c>
      <c r="E39" s="1" t="s">
        <v>18</v>
      </c>
      <c r="F39" s="1">
        <v>1488</v>
      </c>
      <c r="G39" s="1">
        <v>97.647999999999996</v>
      </c>
    </row>
    <row r="40" spans="1:7">
      <c r="A40" s="1">
        <v>2</v>
      </c>
      <c r="B40" s="4" t="s">
        <v>25</v>
      </c>
      <c r="C40" s="1">
        <v>104</v>
      </c>
      <c r="D40" s="7">
        <v>4.9382716049382713E-2</v>
      </c>
      <c r="E40" s="1" t="s">
        <v>93</v>
      </c>
      <c r="F40" s="1">
        <v>1357</v>
      </c>
      <c r="G40" s="1">
        <v>78.849999999999994</v>
      </c>
    </row>
    <row r="41" spans="1:7">
      <c r="A41" s="1">
        <v>2</v>
      </c>
      <c r="B41" s="4" t="s">
        <v>25</v>
      </c>
      <c r="C41" s="1">
        <v>699</v>
      </c>
      <c r="D41" s="7">
        <v>0.33190883190883191</v>
      </c>
      <c r="E41" s="1" t="s">
        <v>24</v>
      </c>
      <c r="F41" s="1">
        <v>1429</v>
      </c>
      <c r="G41" s="1">
        <v>100</v>
      </c>
    </row>
    <row r="42" spans="1:7">
      <c r="A42" s="13">
        <v>2</v>
      </c>
      <c r="B42" s="20" t="s">
        <v>25</v>
      </c>
      <c r="C42" s="13">
        <v>294</v>
      </c>
      <c r="D42" s="21">
        <v>0.1396011396011396</v>
      </c>
      <c r="E42" s="13" t="s">
        <v>28</v>
      </c>
      <c r="F42" s="13">
        <v>1203</v>
      </c>
      <c r="G42" s="13">
        <v>72.319000000000003</v>
      </c>
    </row>
    <row r="43" spans="1:7">
      <c r="A43" s="2">
        <v>2</v>
      </c>
      <c r="B43" s="3" t="s">
        <v>33</v>
      </c>
      <c r="C43" s="2">
        <v>216</v>
      </c>
      <c r="D43" s="8">
        <v>7.5976081603939497E-2</v>
      </c>
      <c r="E43" s="2" t="s">
        <v>24</v>
      </c>
      <c r="F43" s="2">
        <v>1340</v>
      </c>
      <c r="G43" s="2">
        <v>99.924999999999997</v>
      </c>
    </row>
    <row r="44" spans="1:7">
      <c r="A44" s="2">
        <v>2</v>
      </c>
      <c r="B44" s="3" t="s">
        <v>33</v>
      </c>
      <c r="C44" s="2">
        <v>223</v>
      </c>
      <c r="D44" s="8">
        <v>7.8438269433696806E-2</v>
      </c>
      <c r="E44" s="2" t="s">
        <v>20</v>
      </c>
      <c r="F44" s="2">
        <v>1419</v>
      </c>
      <c r="G44" s="2">
        <v>99.718000000000004</v>
      </c>
    </row>
    <row r="45" spans="1:7">
      <c r="A45" s="2">
        <v>2</v>
      </c>
      <c r="B45" s="3" t="s">
        <v>33</v>
      </c>
      <c r="C45" s="2">
        <v>699</v>
      </c>
      <c r="D45" s="8">
        <v>0.2458670418571931</v>
      </c>
      <c r="E45" s="10" t="s">
        <v>84</v>
      </c>
      <c r="F45" s="2">
        <v>1501</v>
      </c>
      <c r="G45" s="2">
        <v>89.474000000000004</v>
      </c>
    </row>
    <row r="46" spans="1:7">
      <c r="A46" s="2">
        <v>2</v>
      </c>
      <c r="B46" s="3" t="s">
        <v>33</v>
      </c>
      <c r="C46" s="2">
        <v>1224</v>
      </c>
      <c r="D46" s="8">
        <v>0.43053112908899049</v>
      </c>
      <c r="E46" s="2" t="s">
        <v>24</v>
      </c>
      <c r="F46" s="2">
        <v>1429</v>
      </c>
      <c r="G46" s="2">
        <v>100</v>
      </c>
    </row>
    <row r="47" spans="1:7">
      <c r="A47" s="2">
        <v>2</v>
      </c>
      <c r="B47" s="3" t="s">
        <v>33</v>
      </c>
      <c r="C47" s="2">
        <v>274</v>
      </c>
      <c r="D47" s="8">
        <v>9.6377066479071405E-2</v>
      </c>
      <c r="E47" s="2" t="s">
        <v>92</v>
      </c>
      <c r="F47" s="2" t="s">
        <v>81</v>
      </c>
      <c r="G47" s="2" t="s">
        <v>81</v>
      </c>
    </row>
    <row r="48" spans="1:7">
      <c r="A48" s="17">
        <v>2</v>
      </c>
      <c r="B48" s="18" t="s">
        <v>33</v>
      </c>
      <c r="C48" s="17">
        <v>207</v>
      </c>
      <c r="D48" s="19">
        <v>7.2810411537108682E-2</v>
      </c>
      <c r="E48" s="17" t="s">
        <v>16</v>
      </c>
      <c r="F48" s="17">
        <v>1416</v>
      </c>
      <c r="G48" s="17">
        <v>96.045000000000002</v>
      </c>
    </row>
    <row r="49" spans="1:7">
      <c r="A49" s="1">
        <v>2</v>
      </c>
      <c r="B49" s="4" t="s">
        <v>38</v>
      </c>
      <c r="C49" s="1">
        <v>333</v>
      </c>
      <c r="D49" s="7">
        <v>0.20243161094224923</v>
      </c>
      <c r="E49" s="1" t="s">
        <v>91</v>
      </c>
      <c r="F49" s="1">
        <v>1213</v>
      </c>
      <c r="G49" s="1">
        <v>75.515000000000001</v>
      </c>
    </row>
    <row r="50" spans="1:7">
      <c r="A50" s="1">
        <v>2</v>
      </c>
      <c r="B50" s="4" t="s">
        <v>38</v>
      </c>
      <c r="C50" s="1">
        <v>133</v>
      </c>
      <c r="D50" s="7">
        <v>8.085106382978724E-2</v>
      </c>
      <c r="E50" s="1" t="s">
        <v>55</v>
      </c>
      <c r="F50" s="1">
        <v>1468</v>
      </c>
      <c r="G50" s="1">
        <v>99.046000000000006</v>
      </c>
    </row>
    <row r="51" spans="1:7">
      <c r="A51" s="1">
        <v>2</v>
      </c>
      <c r="B51" s="4" t="s">
        <v>38</v>
      </c>
      <c r="C51" s="1">
        <v>149</v>
      </c>
      <c r="D51" s="7">
        <v>9.057750759878419E-2</v>
      </c>
      <c r="E51" s="1" t="s">
        <v>59</v>
      </c>
      <c r="F51" s="1">
        <v>37</v>
      </c>
      <c r="G51" s="1">
        <v>83.784000000000006</v>
      </c>
    </row>
    <row r="52" spans="1:7">
      <c r="A52" s="1">
        <v>2</v>
      </c>
      <c r="B52" s="4" t="s">
        <v>38</v>
      </c>
      <c r="C52" s="1">
        <v>188</v>
      </c>
      <c r="D52" s="7">
        <v>0.11428571428571428</v>
      </c>
      <c r="E52" s="1" t="s">
        <v>9</v>
      </c>
      <c r="F52" s="1">
        <v>1467</v>
      </c>
      <c r="G52" s="1">
        <v>98.909000000000006</v>
      </c>
    </row>
    <row r="53" spans="1:7">
      <c r="A53" s="1">
        <v>2</v>
      </c>
      <c r="B53" s="4" t="s">
        <v>38</v>
      </c>
      <c r="C53" s="1">
        <v>191</v>
      </c>
      <c r="D53" s="7">
        <v>0.11610942249240122</v>
      </c>
      <c r="E53" s="1" t="s">
        <v>31</v>
      </c>
      <c r="F53" s="1">
        <v>1438</v>
      </c>
      <c r="G53" s="1">
        <v>84.352999999999994</v>
      </c>
    </row>
    <row r="54" spans="1:7">
      <c r="A54" s="1">
        <v>2</v>
      </c>
      <c r="B54" s="4" t="s">
        <v>38</v>
      </c>
      <c r="C54" s="1">
        <v>121</v>
      </c>
      <c r="D54" s="7">
        <v>7.3556231003039513E-2</v>
      </c>
      <c r="E54" s="1" t="s">
        <v>27</v>
      </c>
      <c r="F54" s="1">
        <v>1470</v>
      </c>
      <c r="G54" s="1">
        <v>92.177000000000007</v>
      </c>
    </row>
    <row r="55" spans="1:7">
      <c r="A55" s="1">
        <v>2</v>
      </c>
      <c r="B55" s="4" t="s">
        <v>38</v>
      </c>
      <c r="C55" s="1">
        <v>166</v>
      </c>
      <c r="D55" s="7">
        <v>0.10091185410334347</v>
      </c>
      <c r="E55" s="1" t="s">
        <v>90</v>
      </c>
      <c r="F55" s="1">
        <v>1413</v>
      </c>
      <c r="G55" s="1">
        <v>100</v>
      </c>
    </row>
    <row r="56" spans="1:7">
      <c r="A56" s="1">
        <v>2</v>
      </c>
      <c r="B56" s="4" t="s">
        <v>38</v>
      </c>
      <c r="C56" s="1">
        <v>129</v>
      </c>
      <c r="D56" s="7">
        <v>7.8419452887537988E-2</v>
      </c>
      <c r="E56" s="1" t="s">
        <v>30</v>
      </c>
      <c r="F56" s="1">
        <v>1478</v>
      </c>
      <c r="G56" s="1">
        <v>96.075999999999993</v>
      </c>
    </row>
    <row r="57" spans="1:7">
      <c r="A57" s="13">
        <v>2</v>
      </c>
      <c r="B57" s="20" t="s">
        <v>38</v>
      </c>
      <c r="C57" s="13">
        <v>235</v>
      </c>
      <c r="D57" s="21">
        <v>0.14285714285714285</v>
      </c>
      <c r="E57" s="13" t="s">
        <v>18</v>
      </c>
      <c r="F57" s="13">
        <v>1488</v>
      </c>
      <c r="G57" s="13">
        <v>97.647999999999996</v>
      </c>
    </row>
    <row r="58" spans="1:7">
      <c r="A58" s="2">
        <v>3</v>
      </c>
      <c r="B58" s="3" t="s">
        <v>103</v>
      </c>
      <c r="C58" s="2">
        <v>263</v>
      </c>
      <c r="D58" s="8">
        <v>9.6055514974433889E-2</v>
      </c>
      <c r="E58" s="2" t="s">
        <v>68</v>
      </c>
      <c r="F58" s="2">
        <v>1362</v>
      </c>
      <c r="G58" s="2">
        <v>97.796999999999997</v>
      </c>
    </row>
    <row r="59" spans="1:7">
      <c r="A59" s="2">
        <v>3</v>
      </c>
      <c r="B59" s="3" t="s">
        <v>103</v>
      </c>
      <c r="C59" s="2">
        <v>122</v>
      </c>
      <c r="D59" s="8">
        <v>4.4558071585098613E-2</v>
      </c>
      <c r="E59" s="2" t="s">
        <v>24</v>
      </c>
      <c r="F59" s="2">
        <v>1429</v>
      </c>
      <c r="G59" s="2">
        <v>100</v>
      </c>
    </row>
    <row r="60" spans="1:7">
      <c r="A60" s="2">
        <v>3</v>
      </c>
      <c r="B60" s="3" t="s">
        <v>102</v>
      </c>
      <c r="C60" s="2">
        <v>138</v>
      </c>
      <c r="D60" s="8">
        <v>5.0401753104455806E-2</v>
      </c>
      <c r="E60" s="2" t="s">
        <v>43</v>
      </c>
      <c r="F60" s="2">
        <v>1456</v>
      </c>
      <c r="G60" s="2">
        <v>100</v>
      </c>
    </row>
    <row r="61" spans="1:7">
      <c r="A61" s="2">
        <v>3</v>
      </c>
      <c r="B61" s="3" t="s">
        <v>102</v>
      </c>
      <c r="C61" s="2">
        <v>375</v>
      </c>
      <c r="D61" s="8">
        <v>0.13696128560993426</v>
      </c>
      <c r="E61" s="2" t="s">
        <v>15</v>
      </c>
      <c r="F61" s="2">
        <v>1381</v>
      </c>
      <c r="G61" s="2">
        <v>99.927999999999997</v>
      </c>
    </row>
    <row r="62" spans="1:7">
      <c r="A62" s="2">
        <v>3</v>
      </c>
      <c r="B62" s="3" t="s">
        <v>102</v>
      </c>
      <c r="C62" s="2">
        <v>110</v>
      </c>
      <c r="D62" s="8">
        <v>4.0175310445580717E-2</v>
      </c>
      <c r="E62" s="2" t="s">
        <v>10</v>
      </c>
      <c r="F62" s="2">
        <v>1480</v>
      </c>
      <c r="G62" s="2">
        <v>95.945999999999998</v>
      </c>
    </row>
    <row r="63" spans="1:7">
      <c r="A63" s="2">
        <v>3</v>
      </c>
      <c r="B63" s="3" t="s">
        <v>102</v>
      </c>
      <c r="C63" s="2">
        <v>122</v>
      </c>
      <c r="D63" s="8">
        <v>4.4558071585098613E-2</v>
      </c>
      <c r="E63" s="2" t="s">
        <v>64</v>
      </c>
      <c r="F63" s="2">
        <v>1410</v>
      </c>
      <c r="G63" s="2">
        <v>99.149000000000001</v>
      </c>
    </row>
    <row r="64" spans="1:7">
      <c r="A64" s="2">
        <v>3</v>
      </c>
      <c r="B64" s="3" t="s">
        <v>102</v>
      </c>
      <c r="C64" s="2">
        <v>290</v>
      </c>
      <c r="D64" s="8">
        <v>0.10591672753834916</v>
      </c>
      <c r="E64" s="2" t="s">
        <v>89</v>
      </c>
      <c r="F64" s="2">
        <v>1429</v>
      </c>
      <c r="G64" s="2">
        <v>83.834999999999994</v>
      </c>
    </row>
    <row r="65" spans="1:7">
      <c r="A65" s="2">
        <v>3</v>
      </c>
      <c r="B65" s="3" t="s">
        <v>102</v>
      </c>
      <c r="C65" s="2">
        <v>126</v>
      </c>
      <c r="D65" s="8">
        <v>4.601899196493791E-2</v>
      </c>
      <c r="E65" s="2" t="s">
        <v>65</v>
      </c>
      <c r="F65" s="2">
        <v>1270</v>
      </c>
      <c r="G65" s="2">
        <v>72.834999999999994</v>
      </c>
    </row>
    <row r="66" spans="1:7">
      <c r="A66" s="2">
        <v>3</v>
      </c>
      <c r="B66" s="3" t="s">
        <v>102</v>
      </c>
      <c r="C66" s="2">
        <v>332</v>
      </c>
      <c r="D66" s="8">
        <v>0.1212563915266618</v>
      </c>
      <c r="E66" s="2" t="s">
        <v>18</v>
      </c>
      <c r="F66" s="2">
        <v>1483</v>
      </c>
      <c r="G66" s="2">
        <v>97.64</v>
      </c>
    </row>
    <row r="67" spans="1:7">
      <c r="A67" s="2">
        <v>3</v>
      </c>
      <c r="B67" s="3" t="s">
        <v>102</v>
      </c>
      <c r="C67" s="2">
        <v>153</v>
      </c>
      <c r="D67" s="8">
        <v>5.5880204528853179E-2</v>
      </c>
      <c r="E67" s="2" t="s">
        <v>28</v>
      </c>
      <c r="F67" s="2">
        <v>1203</v>
      </c>
      <c r="G67" s="2">
        <v>72.319000000000003</v>
      </c>
    </row>
    <row r="68" spans="1:7">
      <c r="A68" s="2">
        <v>3</v>
      </c>
      <c r="B68" s="3" t="s">
        <v>102</v>
      </c>
      <c r="C68" s="2">
        <v>126</v>
      </c>
      <c r="D68" s="8">
        <v>4.601899196493791E-2</v>
      </c>
      <c r="E68" s="2" t="s">
        <v>40</v>
      </c>
      <c r="F68" s="2">
        <v>1442</v>
      </c>
      <c r="G68" s="2">
        <v>97.92</v>
      </c>
    </row>
    <row r="69" spans="1:7">
      <c r="A69" s="2">
        <v>3</v>
      </c>
      <c r="B69" s="3" t="s">
        <v>102</v>
      </c>
      <c r="C69" s="2">
        <v>224</v>
      </c>
      <c r="D69" s="8">
        <v>8.1811541271000737E-2</v>
      </c>
      <c r="E69" s="2" t="s">
        <v>9</v>
      </c>
      <c r="F69" s="2">
        <v>1465</v>
      </c>
      <c r="G69" s="2">
        <v>98.908000000000001</v>
      </c>
    </row>
    <row r="70" spans="1:7">
      <c r="A70" s="17">
        <v>3</v>
      </c>
      <c r="B70" s="18" t="s">
        <v>102</v>
      </c>
      <c r="C70" s="17">
        <v>357</v>
      </c>
      <c r="D70" s="19">
        <v>0.13038714390065742</v>
      </c>
      <c r="E70" s="17" t="s">
        <v>23</v>
      </c>
      <c r="F70" s="17">
        <v>1424</v>
      </c>
      <c r="G70" s="17">
        <v>95.927000000000007</v>
      </c>
    </row>
    <row r="71" spans="1:7">
      <c r="A71" s="1">
        <v>3</v>
      </c>
      <c r="B71" s="4" t="s">
        <v>25</v>
      </c>
      <c r="C71" s="1">
        <v>161</v>
      </c>
      <c r="D71" s="7">
        <v>6.1899269511726258E-2</v>
      </c>
      <c r="E71" s="1" t="s">
        <v>48</v>
      </c>
      <c r="F71" s="1">
        <v>1477</v>
      </c>
      <c r="G71" s="1">
        <v>98.51</v>
      </c>
    </row>
    <row r="72" spans="1:7">
      <c r="A72" s="1">
        <v>3</v>
      </c>
      <c r="B72" s="4" t="s">
        <v>25</v>
      </c>
      <c r="C72" s="1">
        <v>203</v>
      </c>
      <c r="D72" s="7">
        <v>7.8046905036524408E-2</v>
      </c>
      <c r="E72" s="1" t="s">
        <v>28</v>
      </c>
      <c r="F72" s="1">
        <v>1203</v>
      </c>
      <c r="G72" s="1">
        <v>72.319000000000003</v>
      </c>
    </row>
    <row r="73" spans="1:7">
      <c r="A73" s="1">
        <v>3</v>
      </c>
      <c r="B73" s="4" t="s">
        <v>25</v>
      </c>
      <c r="C73" s="1">
        <v>138</v>
      </c>
      <c r="D73" s="7">
        <v>5.3056516724336797E-2</v>
      </c>
      <c r="E73" s="9" t="s">
        <v>84</v>
      </c>
      <c r="F73" s="1">
        <v>1471</v>
      </c>
      <c r="G73" s="1">
        <v>89.938999999999993</v>
      </c>
    </row>
    <row r="74" spans="1:7">
      <c r="A74" s="1">
        <v>3</v>
      </c>
      <c r="B74" s="4" t="s">
        <v>25</v>
      </c>
      <c r="C74" s="1">
        <v>319</v>
      </c>
      <c r="D74" s="7">
        <v>0.12264513648596694</v>
      </c>
      <c r="E74" s="1" t="s">
        <v>88</v>
      </c>
      <c r="F74" s="1">
        <v>1478</v>
      </c>
      <c r="G74" s="1">
        <v>96.075999999999993</v>
      </c>
    </row>
    <row r="75" spans="1:7">
      <c r="A75" s="1">
        <v>3</v>
      </c>
      <c r="B75" s="4" t="s">
        <v>25</v>
      </c>
      <c r="C75" s="1">
        <v>533</v>
      </c>
      <c r="D75" s="7">
        <v>0.20492118415993849</v>
      </c>
      <c r="E75" s="1" t="s">
        <v>9</v>
      </c>
      <c r="F75" s="1">
        <v>1461</v>
      </c>
      <c r="G75" s="1">
        <v>98.905000000000001</v>
      </c>
    </row>
    <row r="76" spans="1:7">
      <c r="A76" s="1">
        <v>3</v>
      </c>
      <c r="B76" s="4" t="s">
        <v>25</v>
      </c>
      <c r="C76" s="1">
        <v>206</v>
      </c>
      <c r="D76" s="7">
        <v>7.920030757400999E-2</v>
      </c>
      <c r="E76" s="1" t="s">
        <v>32</v>
      </c>
      <c r="F76" s="1">
        <v>1414</v>
      </c>
      <c r="G76" s="1">
        <v>99.929000000000002</v>
      </c>
    </row>
    <row r="77" spans="1:7">
      <c r="A77" s="1">
        <v>3</v>
      </c>
      <c r="B77" s="4" t="s">
        <v>25</v>
      </c>
      <c r="C77" s="1">
        <v>343</v>
      </c>
      <c r="D77" s="7">
        <v>0.1318723567858516</v>
      </c>
      <c r="E77" s="1" t="s">
        <v>16</v>
      </c>
      <c r="F77" s="1">
        <v>1416</v>
      </c>
      <c r="G77" s="1">
        <v>96.045000000000002</v>
      </c>
    </row>
    <row r="78" spans="1:7">
      <c r="A78" s="1">
        <v>3</v>
      </c>
      <c r="B78" s="4" t="s">
        <v>25</v>
      </c>
      <c r="C78" s="1">
        <v>500</v>
      </c>
      <c r="D78" s="7">
        <v>0.19223375624759709</v>
      </c>
      <c r="E78" s="1" t="s">
        <v>18</v>
      </c>
      <c r="F78" s="1">
        <v>1488</v>
      </c>
      <c r="G78" s="1">
        <v>97.647999999999996</v>
      </c>
    </row>
    <row r="79" spans="1:7">
      <c r="A79" s="13">
        <v>3</v>
      </c>
      <c r="B79" s="20" t="s">
        <v>25</v>
      </c>
      <c r="C79" s="13">
        <v>198</v>
      </c>
      <c r="D79" s="21">
        <v>7.6124567474048443E-2</v>
      </c>
      <c r="E79" s="13" t="s">
        <v>87</v>
      </c>
      <c r="F79" s="13">
        <v>1417</v>
      </c>
      <c r="G79" s="13">
        <v>99.647000000000006</v>
      </c>
    </row>
    <row r="80" spans="1:7">
      <c r="A80" s="2">
        <v>3</v>
      </c>
      <c r="B80" s="3" t="s">
        <v>33</v>
      </c>
      <c r="C80" s="2">
        <v>276</v>
      </c>
      <c r="D80" s="8">
        <v>0.12126537785588752</v>
      </c>
      <c r="E80" s="2" t="s">
        <v>18</v>
      </c>
      <c r="F80" s="2">
        <v>1489</v>
      </c>
      <c r="G80" s="2">
        <v>97.649000000000001</v>
      </c>
    </row>
    <row r="81" spans="1:7">
      <c r="A81" s="2">
        <v>3</v>
      </c>
      <c r="B81" s="3" t="s">
        <v>33</v>
      </c>
      <c r="C81" s="2">
        <v>621</v>
      </c>
      <c r="D81" s="8">
        <v>0.27284710017574693</v>
      </c>
      <c r="E81" s="2" t="s">
        <v>9</v>
      </c>
      <c r="F81" s="2">
        <v>1467</v>
      </c>
      <c r="G81" s="2">
        <v>98.909000000000006</v>
      </c>
    </row>
    <row r="82" spans="1:7">
      <c r="A82" s="2">
        <v>3</v>
      </c>
      <c r="B82" s="3" t="s">
        <v>33</v>
      </c>
      <c r="C82" s="2">
        <v>523</v>
      </c>
      <c r="D82" s="8">
        <v>0.22978910369068542</v>
      </c>
      <c r="E82" s="2" t="s">
        <v>28</v>
      </c>
      <c r="F82" s="2">
        <v>1203</v>
      </c>
      <c r="G82" s="2">
        <v>72.319000000000003</v>
      </c>
    </row>
    <row r="83" spans="1:7">
      <c r="A83" s="2">
        <v>3</v>
      </c>
      <c r="B83" s="3" t="s">
        <v>33</v>
      </c>
      <c r="C83" s="2">
        <v>223</v>
      </c>
      <c r="D83" s="8">
        <v>9.7978910369068542E-2</v>
      </c>
      <c r="E83" s="2" t="s">
        <v>24</v>
      </c>
      <c r="F83" s="2">
        <v>1426</v>
      </c>
      <c r="G83" s="2">
        <v>100</v>
      </c>
    </row>
    <row r="84" spans="1:7">
      <c r="A84" s="2">
        <v>3</v>
      </c>
      <c r="B84" s="3" t="s">
        <v>33</v>
      </c>
      <c r="C84" s="2">
        <v>145</v>
      </c>
      <c r="D84" s="8">
        <v>6.3708260105448153E-2</v>
      </c>
      <c r="E84" s="2" t="s">
        <v>35</v>
      </c>
      <c r="F84" s="2">
        <v>297</v>
      </c>
      <c r="G84" s="2">
        <v>76.093999999999994</v>
      </c>
    </row>
    <row r="85" spans="1:7">
      <c r="A85" s="2">
        <v>3</v>
      </c>
      <c r="B85" s="3" t="s">
        <v>33</v>
      </c>
      <c r="C85" s="2">
        <v>168</v>
      </c>
      <c r="D85" s="8">
        <v>7.3813708260105443E-2</v>
      </c>
      <c r="E85" s="2" t="s">
        <v>15</v>
      </c>
      <c r="F85" s="2">
        <v>1386</v>
      </c>
      <c r="G85" s="2">
        <v>99.495000000000005</v>
      </c>
    </row>
    <row r="86" spans="1:7">
      <c r="A86" s="17">
        <v>3</v>
      </c>
      <c r="B86" s="18" t="s">
        <v>33</v>
      </c>
      <c r="C86" s="17">
        <v>320</v>
      </c>
      <c r="D86" s="19">
        <v>0.14059753954305801</v>
      </c>
      <c r="E86" s="17" t="s">
        <v>30</v>
      </c>
      <c r="F86" s="17">
        <v>1461</v>
      </c>
      <c r="G86" s="17">
        <v>96.03</v>
      </c>
    </row>
    <row r="87" spans="1:7">
      <c r="A87" s="1">
        <v>3</v>
      </c>
      <c r="B87" s="4" t="s">
        <v>38</v>
      </c>
      <c r="C87" s="1">
        <v>249</v>
      </c>
      <c r="D87" s="7">
        <v>9.2841163310961969E-2</v>
      </c>
      <c r="E87" s="1" t="s">
        <v>30</v>
      </c>
      <c r="F87" s="1">
        <v>1477</v>
      </c>
      <c r="G87" s="1">
        <v>96.072999999999993</v>
      </c>
    </row>
    <row r="88" spans="1:7">
      <c r="A88" s="1">
        <v>3</v>
      </c>
      <c r="B88" s="4" t="s">
        <v>38</v>
      </c>
      <c r="C88" s="1">
        <v>140</v>
      </c>
      <c r="D88" s="7">
        <v>5.219985085756898E-2</v>
      </c>
      <c r="E88" s="1" t="s">
        <v>18</v>
      </c>
      <c r="F88" s="1">
        <v>1486</v>
      </c>
      <c r="G88" s="1">
        <v>97.644999999999996</v>
      </c>
    </row>
    <row r="89" spans="1:7">
      <c r="A89" s="1">
        <v>3</v>
      </c>
      <c r="B89" s="4" t="s">
        <v>38</v>
      </c>
      <c r="C89" s="1">
        <v>115</v>
      </c>
      <c r="D89" s="7">
        <v>4.2878448918717373E-2</v>
      </c>
      <c r="E89" s="1" t="s">
        <v>32</v>
      </c>
      <c r="F89" s="1">
        <v>1423</v>
      </c>
      <c r="G89" s="1">
        <v>99.93</v>
      </c>
    </row>
    <row r="90" spans="1:7">
      <c r="A90" s="1">
        <v>3</v>
      </c>
      <c r="B90" s="4" t="s">
        <v>38</v>
      </c>
      <c r="C90" s="1">
        <v>133</v>
      </c>
      <c r="D90" s="7">
        <v>4.9589858314690531E-2</v>
      </c>
      <c r="E90" s="1" t="s">
        <v>27</v>
      </c>
      <c r="F90" s="1">
        <v>1468</v>
      </c>
      <c r="G90" s="1">
        <v>93.528999999999996</v>
      </c>
    </row>
    <row r="91" spans="1:7">
      <c r="A91" s="1">
        <v>3</v>
      </c>
      <c r="B91" s="4" t="s">
        <v>38</v>
      </c>
      <c r="C91" s="1">
        <v>155</v>
      </c>
      <c r="D91" s="7">
        <v>5.7792692020879943E-2</v>
      </c>
      <c r="E91" s="1" t="s">
        <v>16</v>
      </c>
      <c r="F91" s="1">
        <v>1317</v>
      </c>
      <c r="G91" s="1">
        <v>96.278999999999996</v>
      </c>
    </row>
    <row r="92" spans="1:7">
      <c r="A92" s="1">
        <v>3</v>
      </c>
      <c r="B92" s="4" t="s">
        <v>38</v>
      </c>
      <c r="C92" s="1">
        <v>297</v>
      </c>
      <c r="D92" s="7">
        <v>0.11073825503355705</v>
      </c>
      <c r="E92" s="1" t="s">
        <v>15</v>
      </c>
      <c r="F92" s="1">
        <v>1381</v>
      </c>
      <c r="G92" s="1">
        <v>99.927999999999997</v>
      </c>
    </row>
    <row r="93" spans="1:7">
      <c r="A93" s="1">
        <v>3</v>
      </c>
      <c r="B93" s="4" t="s">
        <v>38</v>
      </c>
      <c r="C93" s="1">
        <v>359</v>
      </c>
      <c r="D93" s="7">
        <v>0.13385533184190904</v>
      </c>
      <c r="E93" s="1" t="s">
        <v>86</v>
      </c>
      <c r="F93" s="1">
        <v>1197</v>
      </c>
      <c r="G93" s="1">
        <v>72.597999999999999</v>
      </c>
    </row>
    <row r="94" spans="1:7">
      <c r="A94" s="1">
        <v>3</v>
      </c>
      <c r="B94" s="4" t="s">
        <v>38</v>
      </c>
      <c r="C94" s="1">
        <v>206</v>
      </c>
      <c r="D94" s="7">
        <v>7.680835197613721E-2</v>
      </c>
      <c r="E94" s="1" t="s">
        <v>23</v>
      </c>
      <c r="F94" s="1">
        <v>1424</v>
      </c>
      <c r="G94" s="1">
        <v>96.066999999999993</v>
      </c>
    </row>
    <row r="95" spans="1:7">
      <c r="A95" s="1">
        <v>3</v>
      </c>
      <c r="B95" s="4" t="s">
        <v>38</v>
      </c>
      <c r="C95" s="1">
        <f>155+384</f>
        <v>539</v>
      </c>
      <c r="D95" s="7">
        <v>0.20096942580164057</v>
      </c>
      <c r="E95" s="1" t="s">
        <v>16</v>
      </c>
      <c r="F95" s="1">
        <v>1415</v>
      </c>
      <c r="G95" s="1">
        <v>96.042000000000002</v>
      </c>
    </row>
    <row r="96" spans="1:7">
      <c r="A96" s="1">
        <v>3</v>
      </c>
      <c r="B96" s="4" t="s">
        <v>38</v>
      </c>
      <c r="C96" s="1">
        <v>207</v>
      </c>
      <c r="D96" s="7">
        <v>7.7181208053691275E-2</v>
      </c>
      <c r="E96" s="1" t="s">
        <v>35</v>
      </c>
      <c r="F96" s="1">
        <v>297</v>
      </c>
      <c r="G96" s="1">
        <v>76.093999999999994</v>
      </c>
    </row>
    <row r="97" spans="1:7">
      <c r="A97" s="13">
        <v>3</v>
      </c>
      <c r="B97" s="20" t="s">
        <v>38</v>
      </c>
      <c r="C97" s="13">
        <v>282</v>
      </c>
      <c r="D97" s="21">
        <v>0.10514541387024609</v>
      </c>
      <c r="E97" s="13" t="s">
        <v>20</v>
      </c>
      <c r="F97" s="13">
        <v>1429</v>
      </c>
      <c r="G97" s="13">
        <v>99.72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D731E-3E68-024A-AE40-266D6A37A319}">
  <dimension ref="A1:C33"/>
  <sheetViews>
    <sheetView zoomScale="67" workbookViewId="0">
      <selection activeCell="L8" sqref="L8"/>
    </sheetView>
  </sheetViews>
  <sheetFormatPr baseColWidth="10" defaultRowHeight="20"/>
  <cols>
    <col min="1" max="1" width="22" style="1" bestFit="1" customWidth="1"/>
    <col min="2" max="2" width="19.7109375" style="1" bestFit="1" customWidth="1"/>
    <col min="3" max="3" width="11.140625" bestFit="1" customWidth="1"/>
  </cols>
  <sheetData>
    <row r="1" spans="1:3">
      <c r="A1" s="1" t="s">
        <v>107</v>
      </c>
      <c r="B1" s="1" t="s">
        <v>131</v>
      </c>
      <c r="C1" t="s">
        <v>101</v>
      </c>
    </row>
    <row r="2" spans="1:3">
      <c r="A2" s="2" t="s">
        <v>127</v>
      </c>
      <c r="B2" s="2" t="s">
        <v>175</v>
      </c>
      <c r="C2" s="41">
        <v>0.27098214285714284</v>
      </c>
    </row>
    <row r="3" spans="1:3">
      <c r="A3" s="2" t="s">
        <v>127</v>
      </c>
      <c r="B3" s="2" t="s">
        <v>146</v>
      </c>
      <c r="C3" s="41">
        <v>9.508928571428571E-2</v>
      </c>
    </row>
    <row r="4" spans="1:3">
      <c r="A4" s="2" t="s">
        <v>127</v>
      </c>
      <c r="B4" s="2" t="s">
        <v>157</v>
      </c>
      <c r="C4" s="41">
        <v>0.13482142857142856</v>
      </c>
    </row>
    <row r="5" spans="1:3">
      <c r="A5" s="2" t="s">
        <v>127</v>
      </c>
      <c r="B5" s="2" t="s">
        <v>177</v>
      </c>
      <c r="C5" s="41">
        <v>0.22410714285714284</v>
      </c>
    </row>
    <row r="6" spans="1:3">
      <c r="A6" s="2" t="s">
        <v>127</v>
      </c>
      <c r="B6" s="43" t="s">
        <v>171</v>
      </c>
      <c r="C6" s="41">
        <v>6.1160714285714284E-2</v>
      </c>
    </row>
    <row r="7" spans="1:3">
      <c r="A7" s="2" t="s">
        <v>127</v>
      </c>
      <c r="B7" s="2" t="s">
        <v>136</v>
      </c>
      <c r="C7" s="41">
        <v>0.13169642857142858</v>
      </c>
    </row>
    <row r="8" spans="1:3">
      <c r="A8" s="2" t="s">
        <v>127</v>
      </c>
      <c r="B8" s="2" t="s">
        <v>161</v>
      </c>
      <c r="C8" s="41">
        <v>8.2142857142857142E-2</v>
      </c>
    </row>
    <row r="9" spans="1:3">
      <c r="A9" s="1" t="s">
        <v>128</v>
      </c>
      <c r="B9" s="1" t="s">
        <v>180</v>
      </c>
      <c r="C9" s="41">
        <v>5.7656826568265686E-2</v>
      </c>
    </row>
    <row r="10" spans="1:3">
      <c r="A10" s="1" t="s">
        <v>128</v>
      </c>
      <c r="B10" s="1" t="s">
        <v>175</v>
      </c>
      <c r="C10" s="41">
        <v>0.49630996309963099</v>
      </c>
    </row>
    <row r="11" spans="1:3">
      <c r="A11" s="1" t="s">
        <v>128</v>
      </c>
      <c r="B11" s="1" t="s">
        <v>142</v>
      </c>
      <c r="C11" s="41">
        <v>0.21586715867158673</v>
      </c>
    </row>
    <row r="12" spans="1:3">
      <c r="A12" s="1" t="s">
        <v>128</v>
      </c>
      <c r="B12" s="1" t="s">
        <v>157</v>
      </c>
      <c r="C12" s="41">
        <v>0.10239852398523985</v>
      </c>
    </row>
    <row r="13" spans="1:3">
      <c r="A13" s="1" t="s">
        <v>128</v>
      </c>
      <c r="B13" s="1" t="s">
        <v>153</v>
      </c>
      <c r="C13" s="41">
        <v>6.0424354243542436E-2</v>
      </c>
    </row>
    <row r="14" spans="1:3">
      <c r="A14" s="1" t="s">
        <v>128</v>
      </c>
      <c r="B14" s="1" t="s">
        <v>136</v>
      </c>
      <c r="C14" s="41">
        <v>6.7343173431734321E-2</v>
      </c>
    </row>
    <row r="15" spans="1:3">
      <c r="A15" s="2" t="s">
        <v>129</v>
      </c>
      <c r="B15" s="2" t="s">
        <v>175</v>
      </c>
      <c r="C15" s="41">
        <v>0.29667812142038946</v>
      </c>
    </row>
    <row r="16" spans="1:3">
      <c r="A16" s="2" t="s">
        <v>129</v>
      </c>
      <c r="B16" s="2" t="s">
        <v>146</v>
      </c>
      <c r="C16" s="41">
        <v>0.27682321496754486</v>
      </c>
    </row>
    <row r="17" spans="1:3">
      <c r="A17" s="2" t="s">
        <v>129</v>
      </c>
      <c r="B17" s="2" t="s">
        <v>157</v>
      </c>
      <c r="C17" s="41">
        <v>8.0565101183657881E-2</v>
      </c>
    </row>
    <row r="18" spans="1:3">
      <c r="A18" s="2" t="s">
        <v>129</v>
      </c>
      <c r="B18" s="2" t="s">
        <v>177</v>
      </c>
      <c r="C18" s="41">
        <v>0.16609392898052691</v>
      </c>
    </row>
    <row r="19" spans="1:3">
      <c r="A19" s="2" t="s">
        <v>129</v>
      </c>
      <c r="B19" s="2" t="s">
        <v>136</v>
      </c>
      <c r="C19" s="41">
        <v>0.10805651011836578</v>
      </c>
    </row>
    <row r="20" spans="1:3">
      <c r="A20" s="2" t="s">
        <v>129</v>
      </c>
      <c r="B20" s="2" t="s">
        <v>161</v>
      </c>
      <c r="C20" s="11">
        <v>7.1783123329515086E-2</v>
      </c>
    </row>
    <row r="21" spans="1:3">
      <c r="A21" s="1" t="s">
        <v>123</v>
      </c>
      <c r="B21" s="1" t="s">
        <v>188</v>
      </c>
      <c r="C21" s="11">
        <v>8.6285714285714285E-2</v>
      </c>
    </row>
    <row r="22" spans="1:3">
      <c r="A22" s="1" t="s">
        <v>123</v>
      </c>
      <c r="B22" s="1" t="s">
        <v>192</v>
      </c>
      <c r="C22" s="11">
        <v>0.40742857142857142</v>
      </c>
    </row>
    <row r="23" spans="1:3">
      <c r="A23" s="1" t="s">
        <v>123</v>
      </c>
      <c r="B23" s="1" t="s">
        <v>157</v>
      </c>
      <c r="C23" s="11">
        <v>0.28628571428571431</v>
      </c>
    </row>
    <row r="24" spans="1:3">
      <c r="A24" s="1" t="s">
        <v>123</v>
      </c>
      <c r="B24" s="1" t="s">
        <v>153</v>
      </c>
      <c r="C24" s="11">
        <v>0.22</v>
      </c>
    </row>
    <row r="25" spans="1:3">
      <c r="A25" s="2" t="s">
        <v>125</v>
      </c>
      <c r="B25" s="2" t="s">
        <v>200</v>
      </c>
      <c r="C25" s="11">
        <v>0.24538745387453875</v>
      </c>
    </row>
    <row r="26" spans="1:3">
      <c r="A26" s="2" t="s">
        <v>125</v>
      </c>
      <c r="B26" s="2" t="s">
        <v>192</v>
      </c>
      <c r="C26" s="11">
        <v>0.28228782287822879</v>
      </c>
    </row>
    <row r="27" spans="1:3">
      <c r="A27" s="2" t="s">
        <v>125</v>
      </c>
      <c r="B27" s="2" t="s">
        <v>157</v>
      </c>
      <c r="C27" s="11">
        <v>0.22555350553505535</v>
      </c>
    </row>
    <row r="28" spans="1:3">
      <c r="A28" s="2" t="s">
        <v>125</v>
      </c>
      <c r="B28" s="2" t="s">
        <v>196</v>
      </c>
      <c r="C28" s="11">
        <v>6.226937269372694E-2</v>
      </c>
    </row>
    <row r="29" spans="1:3">
      <c r="A29" s="2" t="s">
        <v>125</v>
      </c>
      <c r="B29" s="43" t="s">
        <v>203</v>
      </c>
      <c r="C29" s="11">
        <v>0.18450184501845018</v>
      </c>
    </row>
    <row r="30" spans="1:3">
      <c r="A30" s="1" t="s">
        <v>126</v>
      </c>
      <c r="B30" s="1" t="s">
        <v>200</v>
      </c>
      <c r="C30" s="11">
        <v>0.41176470588235292</v>
      </c>
    </row>
    <row r="31" spans="1:3">
      <c r="A31" s="1" t="s">
        <v>126</v>
      </c>
      <c r="B31" s="1" t="s">
        <v>192</v>
      </c>
      <c r="C31" s="11">
        <v>0.36430481283422461</v>
      </c>
    </row>
    <row r="32" spans="1:3">
      <c r="A32" s="1" t="s">
        <v>126</v>
      </c>
      <c r="B32" s="1" t="s">
        <v>157</v>
      </c>
      <c r="C32" s="11">
        <v>0.14104278074866311</v>
      </c>
    </row>
    <row r="33" spans="1:3">
      <c r="A33" s="1" t="s">
        <v>126</v>
      </c>
      <c r="B33" s="1" t="s">
        <v>196</v>
      </c>
      <c r="C33" s="11">
        <v>8.2887700534759357E-2</v>
      </c>
    </row>
  </sheetData>
  <autoFilter ref="A1:B33" xr:uid="{572D731E-3E68-024A-AE40-266D6A37A319}">
    <sortState xmlns:xlrd2="http://schemas.microsoft.com/office/spreadsheetml/2017/richdata2" ref="A2:B33">
      <sortCondition ref="A1:A33"/>
    </sortState>
  </autoFilter>
  <phoneticPr fontId="1"/>
  <hyperlinks>
    <hyperlink ref="B6" r:id="rId1" display="https://en.wikipedia.org/wiki/Nitrospiraceae" xr:uid="{079EC177-BACC-D044-B319-1159699B5EB4}"/>
    <hyperlink ref="B29" r:id="rId2" display="https://en.wikipedia.org/wiki/Nitrospiraceae" xr:uid="{1B9B3FF9-434F-C249-89BA-662DD16269E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470BF-DEE8-B244-851A-BA25F7A3A915}">
  <dimension ref="A1:P43"/>
  <sheetViews>
    <sheetView topLeftCell="E1" zoomScale="81" workbookViewId="0">
      <selection activeCell="J13" sqref="J13"/>
    </sheetView>
  </sheetViews>
  <sheetFormatPr baseColWidth="10" defaultRowHeight="20"/>
  <cols>
    <col min="1" max="1" width="10.7109375" style="1"/>
    <col min="2" max="2" width="22" style="1" bestFit="1" customWidth="1"/>
    <col min="3" max="3" width="14.85546875" style="1" bestFit="1" customWidth="1"/>
    <col min="4" max="4" width="14.85546875" style="1" customWidth="1"/>
    <col min="5" max="5" width="31.42578125" style="1" bestFit="1" customWidth="1"/>
    <col min="6" max="7" width="31.42578125" style="1" customWidth="1"/>
    <col min="8" max="8" width="32.7109375" style="1" bestFit="1" customWidth="1"/>
    <col min="9" max="9" width="19.7109375" style="1" bestFit="1" customWidth="1"/>
    <col min="10" max="10" width="17.5703125" style="1" bestFit="1" customWidth="1"/>
    <col min="11" max="11" width="39.42578125" style="1" bestFit="1" customWidth="1"/>
    <col min="12" max="14" width="10.7109375" style="1"/>
  </cols>
  <sheetData>
    <row r="1" spans="1:16">
      <c r="A1" s="1" t="s">
        <v>207</v>
      </c>
      <c r="B1" s="1" t="s">
        <v>107</v>
      </c>
      <c r="C1" s="1" t="s">
        <v>2</v>
      </c>
      <c r="D1" s="1" t="s">
        <v>101</v>
      </c>
      <c r="E1" s="1" t="s">
        <v>218</v>
      </c>
      <c r="F1" s="1" t="s">
        <v>280</v>
      </c>
      <c r="G1" s="1" t="s">
        <v>279</v>
      </c>
      <c r="H1" s="1" t="s">
        <v>130</v>
      </c>
      <c r="I1" s="1" t="s">
        <v>131</v>
      </c>
      <c r="J1" s="1" t="s">
        <v>132</v>
      </c>
      <c r="K1" s="1" t="s">
        <v>98</v>
      </c>
      <c r="L1" s="1" t="s">
        <v>3</v>
      </c>
      <c r="M1" s="1" t="s">
        <v>4</v>
      </c>
      <c r="N1" s="1" t="s">
        <v>5</v>
      </c>
    </row>
    <row r="2" spans="1:16">
      <c r="A2" s="1" t="s">
        <v>183</v>
      </c>
      <c r="B2" s="1" t="s">
        <v>123</v>
      </c>
      <c r="C2" s="1">
        <v>358</v>
      </c>
      <c r="D2" s="7">
        <v>0.20457142857142857</v>
      </c>
      <c r="E2" s="1" t="s">
        <v>194</v>
      </c>
      <c r="F2" s="1" t="s">
        <v>295</v>
      </c>
      <c r="G2" s="1" t="s">
        <v>296</v>
      </c>
      <c r="H2" s="1" t="s">
        <v>191</v>
      </c>
      <c r="I2" s="1" t="s">
        <v>192</v>
      </c>
      <c r="J2" s="1" t="s">
        <v>193</v>
      </c>
      <c r="K2" s="1" t="s">
        <v>205</v>
      </c>
      <c r="L2" s="1">
        <v>920</v>
      </c>
      <c r="M2" s="1">
        <v>1470</v>
      </c>
      <c r="N2" s="1">
        <v>99.388000000000005</v>
      </c>
      <c r="O2" s="35"/>
      <c r="P2" s="35"/>
    </row>
    <row r="3" spans="1:16">
      <c r="A3" s="1" t="s">
        <v>183</v>
      </c>
      <c r="B3" s="1" t="s">
        <v>123</v>
      </c>
      <c r="C3" s="1">
        <v>355</v>
      </c>
      <c r="D3" s="7">
        <v>0.20285714285714285</v>
      </c>
      <c r="E3" s="1" t="s">
        <v>190</v>
      </c>
      <c r="F3" s="1" t="s">
        <v>295</v>
      </c>
      <c r="G3" s="1" t="s">
        <v>296</v>
      </c>
      <c r="H3" s="1" t="s">
        <v>191</v>
      </c>
      <c r="I3" s="1" t="s">
        <v>192</v>
      </c>
      <c r="J3" s="1" t="s">
        <v>193</v>
      </c>
      <c r="K3" s="1" t="s">
        <v>208</v>
      </c>
      <c r="L3" s="1">
        <v>33059</v>
      </c>
      <c r="M3" s="1">
        <v>1460</v>
      </c>
      <c r="N3" s="1">
        <v>96.301000000000002</v>
      </c>
      <c r="O3" s="35"/>
      <c r="P3" s="35"/>
    </row>
    <row r="4" spans="1:16">
      <c r="A4" s="1" t="s">
        <v>183</v>
      </c>
      <c r="B4" s="1" t="s">
        <v>123</v>
      </c>
      <c r="C4" s="1">
        <v>501</v>
      </c>
      <c r="D4" s="7">
        <v>0.28628571428571431</v>
      </c>
      <c r="E4" s="1" t="s">
        <v>28</v>
      </c>
      <c r="F4" s="1" t="s">
        <v>281</v>
      </c>
      <c r="G4" s="2" t="s">
        <v>288</v>
      </c>
      <c r="H4" s="1" t="s">
        <v>156</v>
      </c>
      <c r="I4" s="1" t="s">
        <v>157</v>
      </c>
      <c r="J4" s="1" t="s">
        <v>158</v>
      </c>
      <c r="K4" s="1" t="s">
        <v>159</v>
      </c>
      <c r="L4" s="1">
        <v>2014528</v>
      </c>
      <c r="M4" s="1">
        <v>1203</v>
      </c>
      <c r="N4" s="1">
        <v>72.319000000000003</v>
      </c>
      <c r="O4" s="35"/>
      <c r="P4" s="35"/>
    </row>
    <row r="5" spans="1:16">
      <c r="A5" s="1" t="s">
        <v>183</v>
      </c>
      <c r="B5" s="1" t="s">
        <v>123</v>
      </c>
      <c r="C5" s="1">
        <v>151</v>
      </c>
      <c r="D5" s="7">
        <v>8.6285714285714285E-2</v>
      </c>
      <c r="E5" s="1" t="s">
        <v>187</v>
      </c>
      <c r="F5" s="1" t="s">
        <v>284</v>
      </c>
      <c r="G5" s="1" t="s">
        <v>300</v>
      </c>
      <c r="H5" s="1" t="s">
        <v>114</v>
      </c>
      <c r="I5" s="1" t="s">
        <v>188</v>
      </c>
      <c r="J5" s="1" t="s">
        <v>189</v>
      </c>
      <c r="K5" s="1" t="s">
        <v>206</v>
      </c>
      <c r="L5" s="1">
        <v>897</v>
      </c>
      <c r="M5" s="1">
        <v>1505</v>
      </c>
      <c r="N5" s="1">
        <v>82.856999999999999</v>
      </c>
      <c r="O5" s="35"/>
      <c r="P5" s="35"/>
    </row>
    <row r="6" spans="1:16">
      <c r="A6" s="1" t="s">
        <v>183</v>
      </c>
      <c r="B6" s="1" t="s">
        <v>123</v>
      </c>
      <c r="C6" s="1">
        <v>385</v>
      </c>
      <c r="D6" s="7">
        <v>0.22</v>
      </c>
      <c r="E6" s="1" t="s">
        <v>184</v>
      </c>
      <c r="F6" s="1" t="s">
        <v>284</v>
      </c>
      <c r="G6" s="1" t="s">
        <v>292</v>
      </c>
      <c r="H6" s="1" t="s">
        <v>108</v>
      </c>
      <c r="I6" s="1" t="s">
        <v>153</v>
      </c>
      <c r="J6" s="1" t="s">
        <v>185</v>
      </c>
      <c r="K6" s="1" t="s">
        <v>186</v>
      </c>
      <c r="L6" s="1">
        <v>945</v>
      </c>
      <c r="M6" s="1">
        <v>1222</v>
      </c>
      <c r="N6" s="1">
        <v>69.313000000000002</v>
      </c>
      <c r="O6" s="35"/>
      <c r="P6" s="35"/>
    </row>
    <row r="7" spans="1:16">
      <c r="A7" s="1" t="s">
        <v>198</v>
      </c>
      <c r="B7" s="1" t="s">
        <v>125</v>
      </c>
      <c r="C7" s="1">
        <v>266</v>
      </c>
      <c r="D7" s="7">
        <v>0.12269372693726938</v>
      </c>
      <c r="E7" s="1" t="s">
        <v>194</v>
      </c>
      <c r="F7" s="1" t="s">
        <v>295</v>
      </c>
      <c r="G7" s="1" t="s">
        <v>296</v>
      </c>
      <c r="H7" s="1" t="s">
        <v>191</v>
      </c>
      <c r="I7" s="1" t="s">
        <v>192</v>
      </c>
      <c r="J7" s="1" t="s">
        <v>193</v>
      </c>
      <c r="K7" s="1" t="s">
        <v>205</v>
      </c>
      <c r="L7" s="1">
        <v>920</v>
      </c>
      <c r="M7" s="1">
        <v>1468</v>
      </c>
      <c r="N7" s="1">
        <v>99.387</v>
      </c>
      <c r="O7" s="35"/>
      <c r="P7" s="35"/>
    </row>
    <row r="8" spans="1:16">
      <c r="A8" s="1" t="s">
        <v>183</v>
      </c>
      <c r="B8" s="1" t="s">
        <v>125</v>
      </c>
      <c r="C8" s="1">
        <v>346</v>
      </c>
      <c r="D8" s="7">
        <v>0.15959409594095941</v>
      </c>
      <c r="E8" s="1" t="s">
        <v>197</v>
      </c>
      <c r="F8" s="1" t="s">
        <v>295</v>
      </c>
      <c r="G8" s="1" t="s">
        <v>296</v>
      </c>
      <c r="H8" s="1" t="s">
        <v>191</v>
      </c>
      <c r="I8" s="1" t="s">
        <v>192</v>
      </c>
      <c r="J8" s="1" t="s">
        <v>193</v>
      </c>
      <c r="K8" s="1" t="s">
        <v>208</v>
      </c>
      <c r="L8" s="1">
        <v>33059</v>
      </c>
      <c r="M8" s="1">
        <v>1461</v>
      </c>
      <c r="N8" s="1">
        <v>96.234999999999999</v>
      </c>
      <c r="O8" s="35"/>
      <c r="P8" s="35"/>
    </row>
    <row r="9" spans="1:16">
      <c r="A9" s="1" t="s">
        <v>198</v>
      </c>
      <c r="B9" s="1" t="s">
        <v>125</v>
      </c>
      <c r="C9" s="1">
        <v>489</v>
      </c>
      <c r="D9" s="7">
        <v>0.22555350553505535</v>
      </c>
      <c r="E9" s="1" t="s">
        <v>28</v>
      </c>
      <c r="F9" s="1" t="s">
        <v>281</v>
      </c>
      <c r="G9" s="2" t="s">
        <v>288</v>
      </c>
      <c r="H9" s="1" t="s">
        <v>156</v>
      </c>
      <c r="I9" s="1" t="s">
        <v>157</v>
      </c>
      <c r="J9" s="1" t="s">
        <v>158</v>
      </c>
      <c r="K9" s="1" t="s">
        <v>159</v>
      </c>
      <c r="L9" s="1">
        <v>2014528</v>
      </c>
      <c r="M9" s="1">
        <v>1203</v>
      </c>
      <c r="N9" s="1">
        <v>72.319000000000003</v>
      </c>
      <c r="O9" s="35"/>
      <c r="P9" s="35"/>
    </row>
    <row r="10" spans="1:16">
      <c r="A10" s="1" t="s">
        <v>183</v>
      </c>
      <c r="B10" s="1" t="s">
        <v>125</v>
      </c>
      <c r="C10" s="1">
        <v>135</v>
      </c>
      <c r="D10" s="7">
        <v>6.226937269372694E-2</v>
      </c>
      <c r="E10" s="1" t="s">
        <v>195</v>
      </c>
      <c r="F10" s="1" t="s">
        <v>284</v>
      </c>
      <c r="G10" s="1" t="s">
        <v>300</v>
      </c>
      <c r="H10" s="1" t="s">
        <v>114</v>
      </c>
      <c r="I10" s="1" t="s">
        <v>196</v>
      </c>
      <c r="J10" s="1" t="s">
        <v>189</v>
      </c>
      <c r="K10" s="1" t="s">
        <v>206</v>
      </c>
      <c r="L10" s="1">
        <v>897</v>
      </c>
      <c r="M10" s="1">
        <v>1511</v>
      </c>
      <c r="N10" s="1">
        <v>82.924999999999997</v>
      </c>
      <c r="O10" s="35"/>
      <c r="P10" s="35"/>
    </row>
    <row r="11" spans="1:16">
      <c r="A11" s="1" t="s">
        <v>198</v>
      </c>
      <c r="B11" s="1" t="s">
        <v>125</v>
      </c>
      <c r="C11" s="1">
        <v>532</v>
      </c>
      <c r="D11" s="7">
        <v>0.24538745387453875</v>
      </c>
      <c r="E11" s="1" t="s">
        <v>184</v>
      </c>
      <c r="F11" s="1" t="s">
        <v>284</v>
      </c>
      <c r="G11" s="1" t="s">
        <v>292</v>
      </c>
      <c r="H11" s="1" t="s">
        <v>199</v>
      </c>
      <c r="I11" s="1" t="s">
        <v>200</v>
      </c>
      <c r="J11" s="1" t="s">
        <v>201</v>
      </c>
      <c r="K11" s="1" t="s">
        <v>186</v>
      </c>
      <c r="L11" s="1">
        <v>945</v>
      </c>
      <c r="M11" s="1">
        <v>1222</v>
      </c>
      <c r="N11" s="1">
        <v>69.313000000000002</v>
      </c>
      <c r="O11" s="35"/>
      <c r="P11" s="35"/>
    </row>
    <row r="12" spans="1:16">
      <c r="A12" s="1" t="s">
        <v>198</v>
      </c>
      <c r="B12" s="1" t="s">
        <v>125</v>
      </c>
      <c r="C12" s="1">
        <v>400</v>
      </c>
      <c r="D12" s="7">
        <v>0.18450184501845018</v>
      </c>
      <c r="E12" s="1" t="s">
        <v>202</v>
      </c>
      <c r="F12" s="1" t="s">
        <v>302</v>
      </c>
      <c r="G12" s="1" t="s">
        <v>301</v>
      </c>
      <c r="H12" s="33" t="s">
        <v>170</v>
      </c>
      <c r="I12" s="33" t="s">
        <v>203</v>
      </c>
      <c r="J12" s="1" t="s">
        <v>172</v>
      </c>
      <c r="K12" s="1" t="s">
        <v>204</v>
      </c>
      <c r="L12" s="1">
        <v>180</v>
      </c>
      <c r="M12" s="1">
        <v>1480</v>
      </c>
      <c r="N12" s="1">
        <v>98.918999999999997</v>
      </c>
      <c r="O12" s="35"/>
      <c r="P12" s="35"/>
    </row>
    <row r="13" spans="1:16">
      <c r="A13" s="1" t="s">
        <v>198</v>
      </c>
      <c r="B13" s="1" t="s">
        <v>126</v>
      </c>
      <c r="C13" s="1">
        <v>314</v>
      </c>
      <c r="D13" s="7">
        <v>0.20989304812834225</v>
      </c>
      <c r="E13" s="1" t="s">
        <v>194</v>
      </c>
      <c r="F13" s="1" t="s">
        <v>295</v>
      </c>
      <c r="G13" s="1" t="s">
        <v>296</v>
      </c>
      <c r="H13" s="1" t="s">
        <v>191</v>
      </c>
      <c r="I13" s="1" t="s">
        <v>192</v>
      </c>
      <c r="J13" s="1" t="s">
        <v>193</v>
      </c>
      <c r="K13" s="1" t="s">
        <v>205</v>
      </c>
      <c r="L13" s="1">
        <v>920</v>
      </c>
      <c r="M13" s="1">
        <v>1470</v>
      </c>
      <c r="N13" s="1">
        <v>99.388000000000005</v>
      </c>
      <c r="O13" s="35"/>
      <c r="P13" s="35"/>
    </row>
    <row r="14" spans="1:16">
      <c r="A14" s="1" t="s">
        <v>198</v>
      </c>
      <c r="B14" s="1" t="s">
        <v>126</v>
      </c>
      <c r="C14" s="1">
        <v>211</v>
      </c>
      <c r="D14" s="7">
        <v>0.14104278074866311</v>
      </c>
      <c r="E14" s="1" t="s">
        <v>28</v>
      </c>
      <c r="F14" s="1" t="s">
        <v>281</v>
      </c>
      <c r="G14" s="2" t="s">
        <v>288</v>
      </c>
      <c r="H14" s="1" t="s">
        <v>156</v>
      </c>
      <c r="I14" s="1" t="s">
        <v>157</v>
      </c>
      <c r="J14" s="1" t="s">
        <v>158</v>
      </c>
      <c r="K14" s="1" t="s">
        <v>159</v>
      </c>
      <c r="L14" s="1">
        <v>2014528</v>
      </c>
      <c r="M14" s="1">
        <v>1203</v>
      </c>
      <c r="N14" s="1">
        <v>72.319000000000003</v>
      </c>
      <c r="O14" s="35"/>
      <c r="P14" s="35"/>
    </row>
    <row r="15" spans="1:16">
      <c r="A15" s="1" t="s">
        <v>198</v>
      </c>
      <c r="B15" s="1" t="s">
        <v>126</v>
      </c>
      <c r="C15" s="1">
        <v>231</v>
      </c>
      <c r="D15" s="7">
        <v>0.15441176470588236</v>
      </c>
      <c r="E15" s="1" t="s">
        <v>190</v>
      </c>
      <c r="F15" s="1" t="s">
        <v>295</v>
      </c>
      <c r="G15" s="1" t="s">
        <v>296</v>
      </c>
      <c r="H15" s="1" t="s">
        <v>191</v>
      </c>
      <c r="I15" s="1" t="s">
        <v>209</v>
      </c>
      <c r="J15" s="1" t="s">
        <v>210</v>
      </c>
      <c r="K15" s="1" t="s">
        <v>211</v>
      </c>
      <c r="L15" s="1">
        <v>33059</v>
      </c>
      <c r="M15" s="1">
        <v>1460</v>
      </c>
      <c r="N15" s="1">
        <v>96.301000000000002</v>
      </c>
      <c r="O15" s="35"/>
      <c r="P15" s="35"/>
    </row>
    <row r="16" spans="1:16">
      <c r="A16" s="1" t="s">
        <v>198</v>
      </c>
      <c r="B16" s="1" t="s">
        <v>126</v>
      </c>
      <c r="C16" s="1">
        <v>124</v>
      </c>
      <c r="D16" s="7">
        <v>8.2887700534759357E-2</v>
      </c>
      <c r="E16" s="1" t="s">
        <v>195</v>
      </c>
      <c r="F16" s="1" t="s">
        <v>284</v>
      </c>
      <c r="G16" s="1" t="s">
        <v>300</v>
      </c>
      <c r="H16" s="1" t="s">
        <v>114</v>
      </c>
      <c r="I16" s="1" t="s">
        <v>196</v>
      </c>
      <c r="J16" s="1" t="s">
        <v>189</v>
      </c>
      <c r="K16" s="1" t="s">
        <v>206</v>
      </c>
      <c r="L16" s="1">
        <v>897</v>
      </c>
      <c r="M16" s="1">
        <v>1505</v>
      </c>
      <c r="N16" s="1">
        <v>82.856999999999999</v>
      </c>
      <c r="O16" s="35"/>
      <c r="P16" s="35"/>
    </row>
    <row r="17" spans="1:16">
      <c r="A17" s="1" t="s">
        <v>198</v>
      </c>
      <c r="B17" s="1" t="s">
        <v>126</v>
      </c>
      <c r="C17" s="1">
        <v>616</v>
      </c>
      <c r="D17" s="7">
        <v>0.41176470588235292</v>
      </c>
      <c r="E17" s="1" t="s">
        <v>184</v>
      </c>
      <c r="F17" s="1" t="s">
        <v>284</v>
      </c>
      <c r="G17" s="1" t="s">
        <v>292</v>
      </c>
      <c r="H17" s="1" t="s">
        <v>199</v>
      </c>
      <c r="I17" s="1" t="s">
        <v>200</v>
      </c>
      <c r="J17" s="1" t="s">
        <v>201</v>
      </c>
      <c r="K17" s="1" t="s">
        <v>186</v>
      </c>
      <c r="L17" s="1">
        <v>945</v>
      </c>
      <c r="M17" s="1">
        <v>1222</v>
      </c>
      <c r="N17" s="1">
        <v>69.313000000000002</v>
      </c>
      <c r="O17" s="35"/>
      <c r="P17" s="35"/>
    </row>
    <row r="18" spans="1:16">
      <c r="A18" s="1" t="s">
        <v>133</v>
      </c>
      <c r="B18" s="1" t="s">
        <v>127</v>
      </c>
      <c r="C18" s="1">
        <v>295</v>
      </c>
      <c r="D18" s="7">
        <v>0.13169642857142858</v>
      </c>
      <c r="E18" s="1" t="s">
        <v>134</v>
      </c>
      <c r="F18" s="1" t="s">
        <v>284</v>
      </c>
      <c r="G18" s="1" t="s">
        <v>285</v>
      </c>
      <c r="H18" s="1" t="s">
        <v>117</v>
      </c>
      <c r="I18" s="1" t="s">
        <v>136</v>
      </c>
      <c r="J18" s="1" t="s">
        <v>137</v>
      </c>
      <c r="K18" s="1" t="s">
        <v>138</v>
      </c>
      <c r="L18" s="1">
        <v>1229656</v>
      </c>
      <c r="M18" s="1">
        <v>1239</v>
      </c>
      <c r="N18" s="1">
        <v>97.74</v>
      </c>
      <c r="O18" s="35"/>
      <c r="P18" s="35"/>
    </row>
    <row r="19" spans="1:16">
      <c r="A19" s="1" t="s">
        <v>133</v>
      </c>
      <c r="B19" s="1" t="s">
        <v>127</v>
      </c>
      <c r="C19" s="1">
        <v>213</v>
      </c>
      <c r="D19" s="7">
        <v>9.508928571428571E-2</v>
      </c>
      <c r="E19" s="1" t="s">
        <v>164</v>
      </c>
      <c r="F19" s="1" t="s">
        <v>281</v>
      </c>
      <c r="G19" s="1" t="s">
        <v>286</v>
      </c>
      <c r="H19" s="1" t="s">
        <v>110</v>
      </c>
      <c r="I19" s="1" t="s">
        <v>146</v>
      </c>
      <c r="J19" s="1" t="s">
        <v>163</v>
      </c>
      <c r="K19" s="1" t="s">
        <v>148</v>
      </c>
      <c r="L19" s="1">
        <v>121039</v>
      </c>
      <c r="M19" s="1">
        <v>1458</v>
      </c>
      <c r="N19" s="1">
        <v>92.25</v>
      </c>
      <c r="O19" s="35"/>
      <c r="P19" s="35"/>
    </row>
    <row r="20" spans="1:16">
      <c r="A20" s="1" t="s">
        <v>133</v>
      </c>
      <c r="B20" s="1" t="s">
        <v>127</v>
      </c>
      <c r="C20" s="1">
        <v>302</v>
      </c>
      <c r="D20" s="7">
        <v>0.13482142857142856</v>
      </c>
      <c r="E20" s="1" t="s">
        <v>28</v>
      </c>
      <c r="F20" s="1" t="s">
        <v>281</v>
      </c>
      <c r="G20" s="2" t="s">
        <v>288</v>
      </c>
      <c r="H20" s="1" t="s">
        <v>156</v>
      </c>
      <c r="I20" s="1" t="s">
        <v>157</v>
      </c>
      <c r="J20" s="1" t="s">
        <v>158</v>
      </c>
      <c r="K20" s="1" t="s">
        <v>159</v>
      </c>
      <c r="L20" s="1">
        <v>2014528</v>
      </c>
      <c r="M20" s="1">
        <v>1203</v>
      </c>
      <c r="N20" s="1">
        <v>72.319000000000003</v>
      </c>
      <c r="O20" s="35"/>
      <c r="P20" s="35"/>
    </row>
    <row r="21" spans="1:16">
      <c r="A21" s="1" t="s">
        <v>133</v>
      </c>
      <c r="B21" s="1" t="s">
        <v>127</v>
      </c>
      <c r="C21" s="1">
        <f>228+263+116</f>
        <v>607</v>
      </c>
      <c r="D21" s="7">
        <v>0.27098214285714284</v>
      </c>
      <c r="E21" s="1" t="s">
        <v>233</v>
      </c>
      <c r="F21" s="1" t="s">
        <v>284</v>
      </c>
      <c r="G21" s="1" t="s">
        <v>285</v>
      </c>
      <c r="H21" s="7" t="s">
        <v>174</v>
      </c>
      <c r="I21" s="1" t="s">
        <v>175</v>
      </c>
      <c r="J21" s="1" t="s">
        <v>176</v>
      </c>
      <c r="K21" s="1" t="s">
        <v>212</v>
      </c>
      <c r="L21" s="1">
        <v>993689</v>
      </c>
      <c r="M21" s="1">
        <v>1475</v>
      </c>
      <c r="N21" s="1">
        <v>97.558999999999997</v>
      </c>
      <c r="O21" s="35"/>
      <c r="P21" s="35"/>
    </row>
    <row r="22" spans="1:16">
      <c r="A22" s="1" t="s">
        <v>133</v>
      </c>
      <c r="B22" s="1" t="s">
        <v>127</v>
      </c>
      <c r="C22" s="1">
        <v>248</v>
      </c>
      <c r="D22" s="7">
        <v>0.11071428571428571</v>
      </c>
      <c r="E22" s="1" t="s">
        <v>97</v>
      </c>
      <c r="F22" s="1" t="s">
        <v>281</v>
      </c>
      <c r="G22" s="1" t="s">
        <v>287</v>
      </c>
      <c r="H22" s="1" t="s">
        <v>112</v>
      </c>
      <c r="I22" s="1" t="s">
        <v>177</v>
      </c>
      <c r="J22" s="1" t="s">
        <v>178</v>
      </c>
      <c r="K22" s="1" t="s">
        <v>213</v>
      </c>
      <c r="L22" s="1">
        <v>1775</v>
      </c>
      <c r="M22" s="1">
        <v>1467</v>
      </c>
      <c r="N22" s="1">
        <v>98.909000000000006</v>
      </c>
      <c r="O22" s="35"/>
      <c r="P22" s="35"/>
    </row>
    <row r="23" spans="1:16">
      <c r="A23" s="1" t="s">
        <v>133</v>
      </c>
      <c r="B23" s="1" t="s">
        <v>127</v>
      </c>
      <c r="C23" s="1">
        <v>129</v>
      </c>
      <c r="D23" s="7">
        <v>5.7589285714285711E-2</v>
      </c>
      <c r="E23" s="1" t="s">
        <v>18</v>
      </c>
      <c r="F23" s="1" t="s">
        <v>281</v>
      </c>
      <c r="G23" s="1" t="s">
        <v>287</v>
      </c>
      <c r="H23" s="1" t="s">
        <v>112</v>
      </c>
      <c r="I23" s="1" t="s">
        <v>177</v>
      </c>
      <c r="J23" s="1" t="s">
        <v>178</v>
      </c>
      <c r="K23" s="1" t="s">
        <v>214</v>
      </c>
      <c r="L23" s="1">
        <v>324058</v>
      </c>
      <c r="M23" s="1">
        <v>1490</v>
      </c>
      <c r="N23" s="1">
        <v>97.650999999999996</v>
      </c>
      <c r="O23" s="35"/>
      <c r="P23" s="35"/>
    </row>
    <row r="24" spans="1:16">
      <c r="A24" s="1" t="s">
        <v>133</v>
      </c>
      <c r="B24" s="1" t="s">
        <v>127</v>
      </c>
      <c r="C24" s="1">
        <v>125</v>
      </c>
      <c r="D24" s="7">
        <v>5.5803571428571432E-2</v>
      </c>
      <c r="E24" s="1" t="s">
        <v>88</v>
      </c>
      <c r="F24" s="2" t="s">
        <v>281</v>
      </c>
      <c r="G24" s="2" t="s">
        <v>287</v>
      </c>
      <c r="H24" s="1" t="s">
        <v>112</v>
      </c>
      <c r="I24" s="1" t="s">
        <v>177</v>
      </c>
      <c r="J24" s="1" t="s">
        <v>178</v>
      </c>
      <c r="K24" s="1" t="s">
        <v>215</v>
      </c>
      <c r="L24" s="1">
        <v>1641992</v>
      </c>
      <c r="M24" s="1">
        <v>1477</v>
      </c>
      <c r="N24" s="1">
        <v>96.141000000000005</v>
      </c>
      <c r="O24" s="36"/>
      <c r="P24" s="36"/>
    </row>
    <row r="25" spans="1:16">
      <c r="A25" s="1" t="s">
        <v>133</v>
      </c>
      <c r="B25" s="1" t="s">
        <v>127</v>
      </c>
      <c r="C25" s="1">
        <v>137</v>
      </c>
      <c r="D25" s="7">
        <v>6.1160714285714284E-2</v>
      </c>
      <c r="E25" s="1" t="s">
        <v>169</v>
      </c>
      <c r="F25" s="1" t="s">
        <v>302</v>
      </c>
      <c r="G25" s="1" t="s">
        <v>301</v>
      </c>
      <c r="H25" s="33" t="s">
        <v>170</v>
      </c>
      <c r="I25" s="33" t="s">
        <v>171</v>
      </c>
      <c r="J25" s="1" t="s">
        <v>172</v>
      </c>
      <c r="K25" s="1" t="s">
        <v>173</v>
      </c>
      <c r="L25" s="1">
        <v>178606</v>
      </c>
      <c r="M25" s="1">
        <v>1510</v>
      </c>
      <c r="N25" s="1">
        <v>90.463999999999999</v>
      </c>
      <c r="O25" s="35"/>
      <c r="P25" s="35"/>
    </row>
    <row r="26" spans="1:16">
      <c r="A26" s="1" t="s">
        <v>133</v>
      </c>
      <c r="B26" s="1" t="s">
        <v>127</v>
      </c>
      <c r="C26" s="1">
        <v>184</v>
      </c>
      <c r="D26" s="7">
        <v>8.2142857142857142E-2</v>
      </c>
      <c r="E26" s="1" t="s">
        <v>160</v>
      </c>
      <c r="F26" s="1" t="s">
        <v>303</v>
      </c>
      <c r="G26" s="1" t="s">
        <v>304</v>
      </c>
      <c r="H26" s="1" t="s">
        <v>119</v>
      </c>
      <c r="I26" s="1" t="s">
        <v>161</v>
      </c>
      <c r="J26" s="1" t="s">
        <v>162</v>
      </c>
      <c r="K26" s="1" t="s">
        <v>216</v>
      </c>
      <c r="L26" s="1">
        <v>2527996</v>
      </c>
      <c r="M26" s="1">
        <v>1189</v>
      </c>
      <c r="N26" s="1">
        <v>78.216999999999999</v>
      </c>
      <c r="O26" s="35"/>
      <c r="P26" s="35"/>
    </row>
    <row r="27" spans="1:16">
      <c r="A27" s="1" t="s">
        <v>139</v>
      </c>
      <c r="B27" s="1" t="s">
        <v>128</v>
      </c>
      <c r="C27" s="1">
        <v>146</v>
      </c>
      <c r="D27" s="7">
        <v>6.7343173431734321E-2</v>
      </c>
      <c r="E27" s="1" t="s">
        <v>134</v>
      </c>
      <c r="F27" s="1" t="s">
        <v>284</v>
      </c>
      <c r="G27" s="1" t="s">
        <v>285</v>
      </c>
      <c r="H27" s="1" t="s">
        <v>135</v>
      </c>
      <c r="I27" s="1" t="s">
        <v>136</v>
      </c>
      <c r="J27" s="1" t="s">
        <v>137</v>
      </c>
      <c r="K27" s="1" t="s">
        <v>138</v>
      </c>
      <c r="L27" s="1">
        <v>1229656</v>
      </c>
      <c r="M27" s="1">
        <v>1239</v>
      </c>
      <c r="N27" s="1">
        <v>97.74</v>
      </c>
    </row>
    <row r="28" spans="1:16">
      <c r="A28" s="1" t="s">
        <v>139</v>
      </c>
      <c r="B28" s="1" t="s">
        <v>128</v>
      </c>
      <c r="C28" s="1">
        <v>159</v>
      </c>
      <c r="D28" s="7">
        <v>7.3339483394833954E-2</v>
      </c>
      <c r="E28" s="1" t="s">
        <v>140</v>
      </c>
      <c r="F28" s="1" t="s">
        <v>284</v>
      </c>
      <c r="G28" s="1" t="s">
        <v>292</v>
      </c>
      <c r="H28" s="1" t="s">
        <v>141</v>
      </c>
      <c r="I28" s="1" t="s">
        <v>142</v>
      </c>
      <c r="J28" s="1" t="s">
        <v>143</v>
      </c>
      <c r="K28" s="1" t="s">
        <v>144</v>
      </c>
      <c r="L28" s="1">
        <v>1969806</v>
      </c>
      <c r="M28" s="1">
        <v>1419</v>
      </c>
      <c r="N28" s="1">
        <v>98.942999999999998</v>
      </c>
    </row>
    <row r="29" spans="1:16">
      <c r="A29" s="1" t="s">
        <v>139</v>
      </c>
      <c r="B29" s="1" t="s">
        <v>128</v>
      </c>
      <c r="C29" s="1">
        <v>125</v>
      </c>
      <c r="D29" s="7">
        <v>5.7656826568265686E-2</v>
      </c>
      <c r="E29" s="1" t="s">
        <v>179</v>
      </c>
      <c r="F29" s="1" t="s">
        <v>284</v>
      </c>
      <c r="G29" s="1" t="s">
        <v>285</v>
      </c>
      <c r="H29" s="1" t="s">
        <v>109</v>
      </c>
      <c r="I29" s="1" t="s">
        <v>180</v>
      </c>
      <c r="J29" s="37" t="s">
        <v>181</v>
      </c>
      <c r="K29" s="1" t="s">
        <v>182</v>
      </c>
      <c r="L29" s="1">
        <v>1620215</v>
      </c>
      <c r="M29" s="1">
        <v>1232</v>
      </c>
      <c r="N29" s="1">
        <v>77.435000000000002</v>
      </c>
    </row>
    <row r="30" spans="1:16">
      <c r="A30" s="1" t="s">
        <v>139</v>
      </c>
      <c r="B30" s="1" t="s">
        <v>128</v>
      </c>
      <c r="C30" s="1">
        <v>309</v>
      </c>
      <c r="D30" s="7">
        <v>0.14252767527675278</v>
      </c>
      <c r="E30" s="1" t="s">
        <v>149</v>
      </c>
      <c r="F30" s="1" t="s">
        <v>284</v>
      </c>
      <c r="G30" s="1" t="s">
        <v>292</v>
      </c>
      <c r="H30" s="1" t="s">
        <v>141</v>
      </c>
      <c r="I30" s="1" t="s">
        <v>142</v>
      </c>
      <c r="J30" s="1" t="s">
        <v>150</v>
      </c>
      <c r="K30" s="1" t="s">
        <v>151</v>
      </c>
      <c r="L30" s="1">
        <v>62140</v>
      </c>
      <c r="M30" s="1">
        <v>1431</v>
      </c>
      <c r="N30" s="1">
        <v>99.93</v>
      </c>
    </row>
    <row r="31" spans="1:16">
      <c r="A31" s="1" t="s">
        <v>139</v>
      </c>
      <c r="B31" s="1" t="s">
        <v>128</v>
      </c>
      <c r="C31" s="1">
        <v>222</v>
      </c>
      <c r="D31" s="7">
        <v>0.10239852398523985</v>
      </c>
      <c r="E31" s="1" t="s">
        <v>28</v>
      </c>
      <c r="F31" s="1" t="s">
        <v>281</v>
      </c>
      <c r="G31" s="2" t="s">
        <v>288</v>
      </c>
      <c r="H31" s="1" t="s">
        <v>156</v>
      </c>
      <c r="I31" s="1" t="s">
        <v>157</v>
      </c>
      <c r="J31" s="1" t="s">
        <v>158</v>
      </c>
      <c r="K31" s="1" t="s">
        <v>159</v>
      </c>
      <c r="L31" s="1">
        <v>2014528</v>
      </c>
      <c r="M31" s="1">
        <v>1203</v>
      </c>
      <c r="N31" s="1">
        <v>72.319000000000003</v>
      </c>
    </row>
    <row r="32" spans="1:16">
      <c r="A32" s="1" t="s">
        <v>139</v>
      </c>
      <c r="B32" s="1" t="s">
        <v>128</v>
      </c>
      <c r="C32" s="1">
        <v>131</v>
      </c>
      <c r="D32" s="7">
        <v>6.0424354243542436E-2</v>
      </c>
      <c r="E32" s="1" t="s">
        <v>152</v>
      </c>
      <c r="F32" s="1" t="s">
        <v>284</v>
      </c>
      <c r="G32" s="1" t="s">
        <v>292</v>
      </c>
      <c r="H32" s="1" t="s">
        <v>108</v>
      </c>
      <c r="I32" s="1" t="s">
        <v>153</v>
      </c>
      <c r="J32" s="1" t="s">
        <v>154</v>
      </c>
      <c r="K32" s="1" t="s">
        <v>155</v>
      </c>
      <c r="L32" s="1">
        <v>948</v>
      </c>
      <c r="M32" s="1">
        <v>351</v>
      </c>
      <c r="N32" s="1">
        <v>77.492999999999995</v>
      </c>
    </row>
    <row r="33" spans="1:15">
      <c r="A33" s="1" t="s">
        <v>139</v>
      </c>
      <c r="B33" s="1" t="s">
        <v>128</v>
      </c>
      <c r="C33" s="1">
        <f>352+131+339+254</f>
        <v>1076</v>
      </c>
      <c r="D33" s="7">
        <v>0.49630996309963099</v>
      </c>
      <c r="E33" s="1" t="s">
        <v>233</v>
      </c>
      <c r="F33" s="1" t="s">
        <v>284</v>
      </c>
      <c r="G33" s="1" t="s">
        <v>285</v>
      </c>
      <c r="H33" s="7" t="s">
        <v>174</v>
      </c>
      <c r="I33" s="1" t="s">
        <v>175</v>
      </c>
      <c r="J33" s="1" t="s">
        <v>176</v>
      </c>
      <c r="K33" s="1" t="s">
        <v>212</v>
      </c>
      <c r="L33" s="1">
        <v>993689</v>
      </c>
      <c r="M33" s="1">
        <v>1476</v>
      </c>
      <c r="N33" s="1">
        <v>97.629000000000005</v>
      </c>
    </row>
    <row r="34" spans="1:15">
      <c r="A34" s="1" t="s">
        <v>133</v>
      </c>
      <c r="B34" s="1" t="s">
        <v>129</v>
      </c>
      <c r="C34" s="1">
        <v>283</v>
      </c>
      <c r="D34" s="7">
        <v>0.10805651011836578</v>
      </c>
      <c r="E34" s="1" t="s">
        <v>134</v>
      </c>
      <c r="F34" s="1" t="s">
        <v>284</v>
      </c>
      <c r="G34" s="1" t="s">
        <v>285</v>
      </c>
      <c r="H34" s="1" t="s">
        <v>117</v>
      </c>
      <c r="I34" s="1" t="s">
        <v>136</v>
      </c>
      <c r="J34" s="1" t="s">
        <v>137</v>
      </c>
      <c r="K34" s="1" t="s">
        <v>138</v>
      </c>
      <c r="L34" s="1">
        <v>1229656</v>
      </c>
      <c r="M34" s="1">
        <v>1239</v>
      </c>
      <c r="N34" s="1">
        <v>97.74</v>
      </c>
      <c r="O34" s="35"/>
    </row>
    <row r="35" spans="1:15">
      <c r="A35" s="1" t="s">
        <v>133</v>
      </c>
      <c r="B35" s="1" t="s">
        <v>129</v>
      </c>
      <c r="C35" s="1">
        <v>473</v>
      </c>
      <c r="D35" s="7">
        <v>0.18060328369606721</v>
      </c>
      <c r="E35" s="1" t="s">
        <v>145</v>
      </c>
      <c r="F35" s="1" t="s">
        <v>281</v>
      </c>
      <c r="G35" s="1" t="s">
        <v>286</v>
      </c>
      <c r="H35" s="1" t="s">
        <v>110</v>
      </c>
      <c r="I35" s="1" t="s">
        <v>146</v>
      </c>
      <c r="J35" s="1" t="s">
        <v>147</v>
      </c>
      <c r="K35" s="1" t="s">
        <v>148</v>
      </c>
      <c r="L35" s="1">
        <v>2664430</v>
      </c>
      <c r="M35" s="1">
        <v>1342</v>
      </c>
      <c r="N35" s="1">
        <v>88.748000000000005</v>
      </c>
      <c r="O35" s="35"/>
    </row>
    <row r="36" spans="1:15">
      <c r="A36" s="1" t="s">
        <v>133</v>
      </c>
      <c r="B36" s="1" t="s">
        <v>129</v>
      </c>
      <c r="C36" s="1">
        <v>120</v>
      </c>
      <c r="D36" s="7">
        <v>4.5819014891179836E-2</v>
      </c>
      <c r="E36" s="1" t="s">
        <v>164</v>
      </c>
      <c r="F36" s="1" t="s">
        <v>281</v>
      </c>
      <c r="G36" s="1" t="s">
        <v>286</v>
      </c>
      <c r="H36" s="1" t="s">
        <v>110</v>
      </c>
      <c r="I36" s="1" t="s">
        <v>146</v>
      </c>
      <c r="J36" s="1" t="s">
        <v>163</v>
      </c>
      <c r="K36" s="1" t="s">
        <v>148</v>
      </c>
      <c r="L36" s="1">
        <v>121039</v>
      </c>
      <c r="M36" s="1">
        <v>1458</v>
      </c>
      <c r="N36" s="1">
        <v>92.73</v>
      </c>
      <c r="O36" s="35"/>
    </row>
    <row r="37" spans="1:15">
      <c r="A37" s="1" t="s">
        <v>133</v>
      </c>
      <c r="B37" s="1" t="s">
        <v>129</v>
      </c>
      <c r="C37" s="1">
        <v>211</v>
      </c>
      <c r="D37" s="7">
        <v>8.0565101183657881E-2</v>
      </c>
      <c r="E37" s="1" t="s">
        <v>28</v>
      </c>
      <c r="F37" s="1" t="s">
        <v>281</v>
      </c>
      <c r="G37" s="2" t="s">
        <v>288</v>
      </c>
      <c r="H37" s="1" t="s">
        <v>156</v>
      </c>
      <c r="I37" s="1" t="s">
        <v>157</v>
      </c>
      <c r="J37" s="1" t="s">
        <v>158</v>
      </c>
      <c r="K37" s="1" t="s">
        <v>159</v>
      </c>
      <c r="L37" s="1">
        <v>2014528</v>
      </c>
      <c r="M37" s="1">
        <v>1203</v>
      </c>
      <c r="N37" s="1">
        <v>72.319000000000003</v>
      </c>
      <c r="O37" s="35"/>
    </row>
    <row r="38" spans="1:15">
      <c r="A38" s="1" t="s">
        <v>133</v>
      </c>
      <c r="B38" s="1" t="s">
        <v>129</v>
      </c>
      <c r="C38" s="1">
        <v>132</v>
      </c>
      <c r="D38" s="7">
        <v>5.0400916380297825E-2</v>
      </c>
      <c r="E38" s="1" t="s">
        <v>165</v>
      </c>
      <c r="F38" s="1" t="s">
        <v>306</v>
      </c>
      <c r="G38" s="1" t="s">
        <v>305</v>
      </c>
      <c r="H38" s="1" t="s">
        <v>122</v>
      </c>
      <c r="I38" s="1" t="s">
        <v>166</v>
      </c>
      <c r="J38" s="1" t="s">
        <v>167</v>
      </c>
      <c r="K38" s="1" t="s">
        <v>168</v>
      </c>
      <c r="L38" s="1">
        <v>682795</v>
      </c>
      <c r="M38" s="1">
        <v>1435</v>
      </c>
      <c r="N38" s="1">
        <v>97.7</v>
      </c>
      <c r="O38" s="35"/>
    </row>
    <row r="39" spans="1:15">
      <c r="A39" s="1" t="s">
        <v>133</v>
      </c>
      <c r="B39" s="1" t="s">
        <v>129</v>
      </c>
      <c r="C39" s="1">
        <f>321+296+160</f>
        <v>777</v>
      </c>
      <c r="D39" s="7">
        <v>0.29667812142038946</v>
      </c>
      <c r="E39" s="1" t="s">
        <v>233</v>
      </c>
      <c r="F39" s="1" t="s">
        <v>284</v>
      </c>
      <c r="G39" s="1" t="s">
        <v>285</v>
      </c>
      <c r="H39" s="7" t="s">
        <v>174</v>
      </c>
      <c r="I39" s="1" t="s">
        <v>175</v>
      </c>
      <c r="J39" s="1" t="s">
        <v>176</v>
      </c>
      <c r="K39" s="1" t="s">
        <v>212</v>
      </c>
      <c r="L39" s="1">
        <v>993689</v>
      </c>
      <c r="M39" s="1">
        <v>1475</v>
      </c>
      <c r="N39" s="1">
        <v>97.694999999999993</v>
      </c>
      <c r="O39" s="35"/>
    </row>
    <row r="40" spans="1:15">
      <c r="A40" s="1" t="s">
        <v>133</v>
      </c>
      <c r="B40" s="1" t="s">
        <v>129</v>
      </c>
      <c r="C40" s="1">
        <v>196</v>
      </c>
      <c r="D40" s="7">
        <v>7.4837724322260407E-2</v>
      </c>
      <c r="E40" s="1" t="s">
        <v>9</v>
      </c>
      <c r="F40" s="1" t="s">
        <v>281</v>
      </c>
      <c r="G40" s="1" t="s">
        <v>287</v>
      </c>
      <c r="H40" s="1" t="s">
        <v>112</v>
      </c>
      <c r="I40" s="1" t="s">
        <v>177</v>
      </c>
      <c r="J40" s="1" t="s">
        <v>178</v>
      </c>
      <c r="K40" s="1" t="s">
        <v>213</v>
      </c>
      <c r="L40" s="1">
        <v>1775</v>
      </c>
      <c r="M40" s="1">
        <v>1465</v>
      </c>
      <c r="N40" s="1">
        <v>98.908000000000001</v>
      </c>
      <c r="O40" s="35"/>
    </row>
    <row r="41" spans="1:15">
      <c r="A41" s="1" t="s">
        <v>133</v>
      </c>
      <c r="B41" s="1" t="s">
        <v>129</v>
      </c>
      <c r="C41" s="1">
        <v>121</v>
      </c>
      <c r="D41" s="7">
        <v>4.6200840015273005E-2</v>
      </c>
      <c r="E41" s="1" t="s">
        <v>18</v>
      </c>
      <c r="F41" s="1" t="s">
        <v>281</v>
      </c>
      <c r="G41" s="1" t="s">
        <v>287</v>
      </c>
      <c r="H41" s="1" t="s">
        <v>112</v>
      </c>
      <c r="I41" s="1" t="s">
        <v>177</v>
      </c>
      <c r="J41" s="1" t="s">
        <v>178</v>
      </c>
      <c r="K41" s="1" t="s">
        <v>214</v>
      </c>
      <c r="L41" s="1">
        <v>324058</v>
      </c>
      <c r="M41" s="1">
        <v>1489</v>
      </c>
      <c r="N41" s="1">
        <v>97.649000000000001</v>
      </c>
      <c r="O41" s="35"/>
    </row>
    <row r="42" spans="1:15">
      <c r="A42" s="1" t="s">
        <v>133</v>
      </c>
      <c r="B42" s="1" t="s">
        <v>129</v>
      </c>
      <c r="C42" s="1">
        <v>118</v>
      </c>
      <c r="D42" s="7">
        <v>4.5055364642993506E-2</v>
      </c>
      <c r="E42" s="1" t="s">
        <v>88</v>
      </c>
      <c r="F42" s="1" t="s">
        <v>281</v>
      </c>
      <c r="G42" s="1" t="s">
        <v>287</v>
      </c>
      <c r="H42" s="1" t="s">
        <v>112</v>
      </c>
      <c r="I42" s="1" t="s">
        <v>177</v>
      </c>
      <c r="J42" s="1" t="s">
        <v>178</v>
      </c>
      <c r="K42" s="1" t="s">
        <v>214</v>
      </c>
      <c r="L42" s="1">
        <v>1641992</v>
      </c>
      <c r="M42" s="1">
        <v>1469</v>
      </c>
      <c r="N42" s="1">
        <v>96.12</v>
      </c>
      <c r="O42" s="35"/>
    </row>
    <row r="43" spans="1:15">
      <c r="A43" s="1" t="s">
        <v>133</v>
      </c>
      <c r="B43" s="1" t="s">
        <v>129</v>
      </c>
      <c r="C43" s="1">
        <v>188</v>
      </c>
      <c r="D43" s="7">
        <v>7.1783123329515086E-2</v>
      </c>
      <c r="E43" s="1" t="s">
        <v>160</v>
      </c>
      <c r="F43" s="1" t="s">
        <v>303</v>
      </c>
      <c r="G43" s="1" t="s">
        <v>304</v>
      </c>
      <c r="H43" s="1" t="s">
        <v>119</v>
      </c>
      <c r="I43" s="1" t="s">
        <v>161</v>
      </c>
      <c r="J43" s="1" t="s">
        <v>162</v>
      </c>
      <c r="K43" s="1" t="s">
        <v>216</v>
      </c>
      <c r="L43" s="1">
        <v>2527996</v>
      </c>
      <c r="M43" s="1">
        <v>1189</v>
      </c>
      <c r="N43" s="1">
        <v>78.216999999999999</v>
      </c>
      <c r="O43" s="35"/>
    </row>
  </sheetData>
  <phoneticPr fontId="1"/>
  <hyperlinks>
    <hyperlink ref="I25" r:id="rId1" display="https://en.wikipedia.org/wiki/Nitrospiraceae" xr:uid="{C71CA04F-66BF-BD4E-A1BE-421AC39065E1}"/>
    <hyperlink ref="H25" r:id="rId2" tooltip="Nitrospirota" display="https://en.wikipedia.org/wiki/Nitrospirota" xr:uid="{ABB0AC0F-F13A-3242-94CF-3503449C276F}"/>
    <hyperlink ref="J29" r:id="rId3" display="https://lpsn.dsmz.de/genus/sulfuricaulis" xr:uid="{81F2A93B-1341-1B44-A6AA-513A38209A71}"/>
    <hyperlink ref="I12" r:id="rId4" display="https://en.wikipedia.org/wiki/Nitrospiraceae" xr:uid="{8201F461-3D06-9A47-B545-722D6C659A10}"/>
    <hyperlink ref="H12" r:id="rId5" tooltip="Nitrospirota" display="https://en.wikipedia.org/wiki/Nitrospirota" xr:uid="{58997C60-6421-F741-B645-3C48AAC12EA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2B9AD-1AFB-104F-9CFC-F34070FEA7F1}">
  <dimension ref="A1:C22"/>
  <sheetViews>
    <sheetView topLeftCell="A7" zoomScale="81" workbookViewId="0">
      <selection activeCell="F9" sqref="F9"/>
    </sheetView>
  </sheetViews>
  <sheetFormatPr baseColWidth="10" defaultRowHeight="20"/>
  <cols>
    <col min="1" max="1" width="22" style="1" bestFit="1" customWidth="1"/>
    <col min="2" max="2" width="31.42578125" style="1" customWidth="1"/>
    <col min="3" max="3" width="14.5703125" bestFit="1" customWidth="1"/>
  </cols>
  <sheetData>
    <row r="1" spans="1:3">
      <c r="A1" s="1" t="s">
        <v>107</v>
      </c>
      <c r="B1" s="1" t="s">
        <v>280</v>
      </c>
      <c r="C1" s="1" t="s">
        <v>101</v>
      </c>
    </row>
    <row r="2" spans="1:3">
      <c r="A2" s="2" t="s">
        <v>127</v>
      </c>
      <c r="B2" s="2" t="s">
        <v>281</v>
      </c>
      <c r="C2">
        <v>0.45401785714285708</v>
      </c>
    </row>
    <row r="3" spans="1:3">
      <c r="A3" s="2" t="s">
        <v>127</v>
      </c>
      <c r="B3" s="2" t="s">
        <v>284</v>
      </c>
      <c r="C3">
        <v>0.40267857142857144</v>
      </c>
    </row>
    <row r="4" spans="1:3">
      <c r="A4" s="2" t="s">
        <v>127</v>
      </c>
      <c r="B4" s="2" t="s">
        <v>302</v>
      </c>
      <c r="C4">
        <v>6.1160714285714284E-2</v>
      </c>
    </row>
    <row r="5" spans="1:3">
      <c r="A5" s="2" t="s">
        <v>127</v>
      </c>
      <c r="B5" s="2" t="s">
        <v>303</v>
      </c>
      <c r="C5">
        <v>8.2142857142857142E-2</v>
      </c>
    </row>
    <row r="6" spans="1:3">
      <c r="A6" s="1" t="s">
        <v>128</v>
      </c>
      <c r="B6" s="1" t="s">
        <v>281</v>
      </c>
      <c r="C6">
        <v>0.10239852398523985</v>
      </c>
    </row>
    <row r="7" spans="1:3">
      <c r="A7" s="1" t="s">
        <v>128</v>
      </c>
      <c r="B7" s="1" t="s">
        <v>284</v>
      </c>
      <c r="C7">
        <v>0.27629151291512921</v>
      </c>
    </row>
    <row r="8" spans="1:3">
      <c r="A8" s="1" t="s">
        <v>128</v>
      </c>
      <c r="B8" s="1" t="s">
        <v>284</v>
      </c>
      <c r="C8">
        <v>0.62130996309963105</v>
      </c>
    </row>
    <row r="9" spans="1:3">
      <c r="A9" s="2" t="s">
        <v>129</v>
      </c>
      <c r="B9" s="2" t="s">
        <v>281</v>
      </c>
      <c r="C9">
        <v>0.47308132875143183</v>
      </c>
    </row>
    <row r="10" spans="1:3">
      <c r="A10" s="2" t="s">
        <v>129</v>
      </c>
      <c r="B10" s="2" t="s">
        <v>284</v>
      </c>
      <c r="C10">
        <v>0.40473463153875522</v>
      </c>
    </row>
    <row r="11" spans="1:3">
      <c r="A11" s="2" t="s">
        <v>129</v>
      </c>
      <c r="B11" s="2" t="s">
        <v>303</v>
      </c>
      <c r="C11">
        <v>7.1783123329515086E-2</v>
      </c>
    </row>
    <row r="12" spans="1:3">
      <c r="A12" s="2" t="s">
        <v>129</v>
      </c>
      <c r="B12" s="2" t="s">
        <v>306</v>
      </c>
      <c r="C12">
        <v>5.0400916380297825E-2</v>
      </c>
    </row>
    <row r="13" spans="1:3">
      <c r="A13" s="1" t="s">
        <v>123</v>
      </c>
      <c r="B13" s="1" t="s">
        <v>295</v>
      </c>
      <c r="C13">
        <v>0.40742857142857142</v>
      </c>
    </row>
    <row r="14" spans="1:3">
      <c r="A14" s="1" t="s">
        <v>123</v>
      </c>
      <c r="B14" s="1" t="s">
        <v>281</v>
      </c>
      <c r="C14">
        <v>0.28628571428571431</v>
      </c>
    </row>
    <row r="15" spans="1:3">
      <c r="A15" s="1" t="s">
        <v>123</v>
      </c>
      <c r="B15" s="1" t="s">
        <v>284</v>
      </c>
      <c r="C15">
        <v>0.30628571428571427</v>
      </c>
    </row>
    <row r="16" spans="1:3">
      <c r="A16" s="2" t="s">
        <v>125</v>
      </c>
      <c r="B16" s="2" t="s">
        <v>295</v>
      </c>
      <c r="C16">
        <v>0.28228782287822879</v>
      </c>
    </row>
    <row r="17" spans="1:3">
      <c r="A17" s="2" t="s">
        <v>125</v>
      </c>
      <c r="B17" s="2" t="s">
        <v>281</v>
      </c>
      <c r="C17">
        <v>0.22555350553505535</v>
      </c>
    </row>
    <row r="18" spans="1:3">
      <c r="A18" s="2" t="s">
        <v>125</v>
      </c>
      <c r="B18" s="2" t="s">
        <v>284</v>
      </c>
      <c r="C18">
        <v>0.30765682656826571</v>
      </c>
    </row>
    <row r="19" spans="1:3">
      <c r="A19" s="2" t="s">
        <v>125</v>
      </c>
      <c r="B19" s="2" t="s">
        <v>302</v>
      </c>
      <c r="C19">
        <v>0.18450184501845018</v>
      </c>
    </row>
    <row r="20" spans="1:3">
      <c r="A20" s="1" t="s">
        <v>126</v>
      </c>
      <c r="B20" s="1" t="s">
        <v>295</v>
      </c>
      <c r="C20">
        <v>0.36430481283422461</v>
      </c>
    </row>
    <row r="21" spans="1:3">
      <c r="A21" s="1" t="s">
        <v>126</v>
      </c>
      <c r="B21" s="1" t="s">
        <v>281</v>
      </c>
      <c r="C21">
        <v>0.14104278074866311</v>
      </c>
    </row>
    <row r="22" spans="1:3">
      <c r="A22" s="1" t="s">
        <v>126</v>
      </c>
      <c r="B22" s="1" t="s">
        <v>284</v>
      </c>
      <c r="C22">
        <v>0.49465240641711228</v>
      </c>
    </row>
  </sheetData>
  <autoFilter ref="A1:B22" xr:uid="{867B0CCE-A513-1E4E-A3DF-DBB0E7B42715}">
    <sortState xmlns:xlrd2="http://schemas.microsoft.com/office/spreadsheetml/2017/richdata2" ref="A2:B22">
      <sortCondition ref="A1:A22"/>
    </sortState>
  </autoFilter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B0CCE-A513-1E4E-A3DF-DBB0E7B42715}">
  <dimension ref="A1:C27"/>
  <sheetViews>
    <sheetView topLeftCell="A9" zoomScale="81" workbookViewId="0">
      <selection activeCell="F6" sqref="F6"/>
    </sheetView>
  </sheetViews>
  <sheetFormatPr baseColWidth="10" defaultRowHeight="20"/>
  <cols>
    <col min="1" max="1" width="22" style="1" bestFit="1" customWidth="1"/>
    <col min="2" max="2" width="31.42578125" style="1" customWidth="1"/>
    <col min="3" max="3" width="20.7109375" bestFit="1" customWidth="1"/>
  </cols>
  <sheetData>
    <row r="1" spans="1:3">
      <c r="A1" s="1" t="s">
        <v>107</v>
      </c>
      <c r="B1" s="1" t="s">
        <v>279</v>
      </c>
      <c r="C1" s="1" t="s">
        <v>101</v>
      </c>
    </row>
    <row r="2" spans="1:3">
      <c r="A2" s="2" t="s">
        <v>127</v>
      </c>
      <c r="B2" s="2" t="s">
        <v>286</v>
      </c>
      <c r="C2" s="41">
        <v>9.508928571428571E-2</v>
      </c>
    </row>
    <row r="3" spans="1:3">
      <c r="A3" s="2" t="s">
        <v>127</v>
      </c>
      <c r="B3" s="2" t="s">
        <v>282</v>
      </c>
      <c r="C3" s="41">
        <v>0.35892857142857137</v>
      </c>
    </row>
    <row r="4" spans="1:3">
      <c r="A4" s="2" t="s">
        <v>127</v>
      </c>
      <c r="B4" s="2" t="s">
        <v>285</v>
      </c>
      <c r="C4" s="41">
        <v>0.40267857142857144</v>
      </c>
    </row>
    <row r="5" spans="1:3">
      <c r="A5" s="2" t="s">
        <v>127</v>
      </c>
      <c r="B5" s="2" t="s">
        <v>301</v>
      </c>
      <c r="C5" s="41">
        <v>6.1160714285714284E-2</v>
      </c>
    </row>
    <row r="6" spans="1:3">
      <c r="A6" s="2" t="s">
        <v>127</v>
      </c>
      <c r="B6" s="2" t="s">
        <v>304</v>
      </c>
      <c r="C6" s="41">
        <v>8.2142857142857142E-2</v>
      </c>
    </row>
    <row r="7" spans="1:3">
      <c r="A7" s="1" t="s">
        <v>128</v>
      </c>
      <c r="B7" s="2" t="s">
        <v>288</v>
      </c>
      <c r="C7" s="41">
        <v>0.10239852398523985</v>
      </c>
    </row>
    <row r="8" spans="1:3">
      <c r="A8" s="1" t="s">
        <v>128</v>
      </c>
      <c r="B8" s="1" t="s">
        <v>292</v>
      </c>
      <c r="C8" s="41">
        <v>0.27629151291512921</v>
      </c>
    </row>
    <row r="9" spans="1:3">
      <c r="A9" s="1" t="s">
        <v>128</v>
      </c>
      <c r="B9" s="1" t="s">
        <v>285</v>
      </c>
      <c r="C9" s="41">
        <v>0.62130996309963105</v>
      </c>
    </row>
    <row r="10" spans="1:3">
      <c r="A10" s="2" t="s">
        <v>129</v>
      </c>
      <c r="B10" s="2" t="s">
        <v>286</v>
      </c>
      <c r="C10" s="41">
        <v>0.22642229858724705</v>
      </c>
    </row>
    <row r="11" spans="1:3">
      <c r="A11" s="2" t="s">
        <v>129</v>
      </c>
      <c r="B11" s="2" t="s">
        <v>288</v>
      </c>
      <c r="C11" s="41">
        <v>0.24665903016418478</v>
      </c>
    </row>
    <row r="12" spans="1:3">
      <c r="A12" s="2" t="s">
        <v>129</v>
      </c>
      <c r="B12" s="2" t="s">
        <v>285</v>
      </c>
      <c r="C12" s="42">
        <v>0.40473463153875522</v>
      </c>
    </row>
    <row r="13" spans="1:3">
      <c r="A13" s="2" t="s">
        <v>129</v>
      </c>
      <c r="B13" s="2" t="s">
        <v>304</v>
      </c>
      <c r="C13" s="41">
        <v>7.1783123329515086E-2</v>
      </c>
    </row>
    <row r="14" spans="1:3">
      <c r="A14" s="2" t="s">
        <v>129</v>
      </c>
      <c r="B14" s="2" t="s">
        <v>305</v>
      </c>
      <c r="C14" s="11">
        <v>5.0400916380297825E-2</v>
      </c>
    </row>
    <row r="15" spans="1:3">
      <c r="A15" s="1" t="s">
        <v>123</v>
      </c>
      <c r="B15" s="1" t="s">
        <v>296</v>
      </c>
      <c r="C15" s="11">
        <v>0.40742857142857142</v>
      </c>
    </row>
    <row r="16" spans="1:3">
      <c r="A16" s="1" t="s">
        <v>123</v>
      </c>
      <c r="B16" s="2" t="s">
        <v>288</v>
      </c>
      <c r="C16" s="11">
        <v>0.28628571428571431</v>
      </c>
    </row>
    <row r="17" spans="1:3">
      <c r="A17" s="1" t="s">
        <v>123</v>
      </c>
      <c r="B17" s="1" t="s">
        <v>292</v>
      </c>
      <c r="C17" s="11">
        <v>0.22</v>
      </c>
    </row>
    <row r="18" spans="1:3">
      <c r="A18" s="1" t="s">
        <v>123</v>
      </c>
      <c r="B18" s="1" t="s">
        <v>300</v>
      </c>
      <c r="C18" s="11">
        <v>8.6285714285714285E-2</v>
      </c>
    </row>
    <row r="19" spans="1:3">
      <c r="A19" s="2" t="s">
        <v>125</v>
      </c>
      <c r="B19" s="2" t="s">
        <v>296</v>
      </c>
      <c r="C19" s="11">
        <v>0.28228782287822879</v>
      </c>
    </row>
    <row r="20" spans="1:3">
      <c r="A20" s="2" t="s">
        <v>125</v>
      </c>
      <c r="B20" s="2" t="s">
        <v>288</v>
      </c>
      <c r="C20" s="11">
        <v>0.22555350553505535</v>
      </c>
    </row>
    <row r="21" spans="1:3">
      <c r="A21" s="2" t="s">
        <v>125</v>
      </c>
      <c r="B21" s="2" t="s">
        <v>292</v>
      </c>
      <c r="C21" s="11">
        <v>0.24538745387453875</v>
      </c>
    </row>
    <row r="22" spans="1:3">
      <c r="A22" s="2" t="s">
        <v>125</v>
      </c>
      <c r="B22" s="2" t="s">
        <v>300</v>
      </c>
      <c r="C22" s="11">
        <v>6.226937269372694E-2</v>
      </c>
    </row>
    <row r="23" spans="1:3">
      <c r="A23" s="2" t="s">
        <v>125</v>
      </c>
      <c r="B23" s="2" t="s">
        <v>301</v>
      </c>
      <c r="C23" s="11">
        <v>0.18450184501845018</v>
      </c>
    </row>
    <row r="24" spans="1:3">
      <c r="A24" s="1" t="s">
        <v>126</v>
      </c>
      <c r="B24" s="1" t="s">
        <v>296</v>
      </c>
      <c r="C24" s="11">
        <v>0.36430481283422461</v>
      </c>
    </row>
    <row r="25" spans="1:3">
      <c r="A25" s="1" t="s">
        <v>126</v>
      </c>
      <c r="B25" s="2" t="s">
        <v>288</v>
      </c>
      <c r="C25" s="11">
        <v>0.14104278074866311</v>
      </c>
    </row>
    <row r="26" spans="1:3">
      <c r="A26" s="1" t="s">
        <v>126</v>
      </c>
      <c r="B26" s="1" t="s">
        <v>292</v>
      </c>
      <c r="C26" s="11">
        <v>0.41176470588235292</v>
      </c>
    </row>
    <row r="27" spans="1:3">
      <c r="A27" s="1" t="s">
        <v>126</v>
      </c>
      <c r="B27" s="1" t="s">
        <v>300</v>
      </c>
      <c r="C27" s="11">
        <v>8.2887700534759357E-2</v>
      </c>
    </row>
  </sheetData>
  <autoFilter ref="A1:B27" xr:uid="{867B0CCE-A513-1E4E-A3DF-DBB0E7B42715}">
    <sortState xmlns:xlrd2="http://schemas.microsoft.com/office/spreadsheetml/2017/richdata2" ref="A2:B27">
      <sortCondition ref="A1:A27"/>
    </sortState>
  </autoFilter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2F62-832F-F94E-A337-346EBD37E2BC}">
  <dimension ref="A1:C32"/>
  <sheetViews>
    <sheetView workbookViewId="0">
      <selection activeCell="F32" sqref="F32"/>
    </sheetView>
  </sheetViews>
  <sheetFormatPr baseColWidth="10" defaultRowHeight="20"/>
  <cols>
    <col min="1" max="1" width="20.7109375" bestFit="1" customWidth="1"/>
    <col min="2" max="2" width="32.28515625" bestFit="1" customWidth="1"/>
    <col min="3" max="3" width="15.7109375" bestFit="1" customWidth="1"/>
  </cols>
  <sheetData>
    <row r="1" spans="1:3">
      <c r="A1" s="16" t="s">
        <v>107</v>
      </c>
      <c r="B1" s="16" t="s">
        <v>106</v>
      </c>
      <c r="C1" s="16" t="s">
        <v>6</v>
      </c>
    </row>
    <row r="2" spans="1:3">
      <c r="A2" s="6" t="s">
        <v>217</v>
      </c>
      <c r="B2" s="6" t="s">
        <v>110</v>
      </c>
      <c r="C2" s="12">
        <v>9.508928571428571E-2</v>
      </c>
    </row>
    <row r="3" spans="1:3">
      <c r="A3" s="6" t="s">
        <v>127</v>
      </c>
      <c r="B3" s="6" t="s">
        <v>112</v>
      </c>
      <c r="C3" s="12">
        <f>0.0558035714285714+0.110714285714286+0.0575892857142857+0.134821428571429</f>
        <v>0.3589285714285721</v>
      </c>
    </row>
    <row r="4" spans="1:3">
      <c r="A4" s="6" t="s">
        <v>127</v>
      </c>
      <c r="B4" s="6" t="s">
        <v>115</v>
      </c>
      <c r="C4" s="12">
        <v>0.27098214285714284</v>
      </c>
    </row>
    <row r="5" spans="1:3">
      <c r="A5" s="6" t="s">
        <v>127</v>
      </c>
      <c r="B5" s="6" t="s">
        <v>116</v>
      </c>
      <c r="C5" s="12">
        <v>6.1160714285714284E-2</v>
      </c>
    </row>
    <row r="6" spans="1:3">
      <c r="A6" s="6" t="s">
        <v>127</v>
      </c>
      <c r="B6" s="6" t="s">
        <v>117</v>
      </c>
      <c r="C6" s="12">
        <v>0.13169642857142858</v>
      </c>
    </row>
    <row r="7" spans="1:3">
      <c r="A7" s="6" t="s">
        <v>127</v>
      </c>
      <c r="B7" s="6" t="s">
        <v>119</v>
      </c>
      <c r="C7" s="12">
        <v>8.2142857142857142E-2</v>
      </c>
    </row>
    <row r="8" spans="1:3">
      <c r="A8" s="26" t="s">
        <v>128</v>
      </c>
      <c r="B8" s="26" t="s">
        <v>109</v>
      </c>
      <c r="C8" s="27">
        <v>5.7656826568265686E-2</v>
      </c>
    </row>
    <row r="9" spans="1:3">
      <c r="A9" t="s">
        <v>128</v>
      </c>
      <c r="B9" t="s">
        <v>112</v>
      </c>
      <c r="C9" s="11">
        <v>0.10239852398523985</v>
      </c>
    </row>
    <row r="10" spans="1:3">
      <c r="A10" t="s">
        <v>128</v>
      </c>
      <c r="B10" t="s">
        <v>115</v>
      </c>
      <c r="C10" s="11">
        <v>0.49630996309963099</v>
      </c>
    </row>
    <row r="11" spans="1:3">
      <c r="A11" t="s">
        <v>128</v>
      </c>
      <c r="B11" t="s">
        <v>117</v>
      </c>
      <c r="C11" s="11">
        <v>6.7343173431734321E-2</v>
      </c>
    </row>
    <row r="12" spans="1:3">
      <c r="A12" t="s">
        <v>128</v>
      </c>
      <c r="B12" t="s">
        <v>121</v>
      </c>
      <c r="C12" s="11">
        <f>0.073339483394834+0.142527675276753</f>
        <v>0.21586715867158701</v>
      </c>
    </row>
    <row r="13" spans="1:3">
      <c r="A13" s="14" t="s">
        <v>128</v>
      </c>
      <c r="B13" s="14" t="s">
        <v>108</v>
      </c>
      <c r="C13" s="28">
        <v>6.0424354243542436E-2</v>
      </c>
    </row>
    <row r="14" spans="1:3">
      <c r="A14" s="29" t="s">
        <v>129</v>
      </c>
      <c r="B14" s="29" t="s">
        <v>110</v>
      </c>
      <c r="C14" s="30">
        <f>0.0458190148911798+0.180603283696067</f>
        <v>0.22642229858724683</v>
      </c>
    </row>
    <row r="15" spans="1:3">
      <c r="A15" s="6" t="s">
        <v>129</v>
      </c>
      <c r="B15" s="6" t="s">
        <v>112</v>
      </c>
      <c r="C15" s="12">
        <f>0.0450553646429935+0.0748377243222604+0.046200840015273+0.0805651011836579</f>
        <v>0.24665903016418478</v>
      </c>
    </row>
    <row r="16" spans="1:3">
      <c r="A16" s="6" t="s">
        <v>129</v>
      </c>
      <c r="B16" s="6" t="s">
        <v>115</v>
      </c>
      <c r="C16" s="12">
        <v>0.29667812142038946</v>
      </c>
    </row>
    <row r="17" spans="1:3">
      <c r="A17" s="6" t="s">
        <v>129</v>
      </c>
      <c r="B17" s="6" t="s">
        <v>118</v>
      </c>
      <c r="C17" s="12">
        <v>0.10805651011836578</v>
      </c>
    </row>
    <row r="18" spans="1:3">
      <c r="A18" s="6" t="s">
        <v>129</v>
      </c>
      <c r="B18" s="6" t="s">
        <v>120</v>
      </c>
      <c r="C18" s="12">
        <v>7.1783123329515086E-2</v>
      </c>
    </row>
    <row r="19" spans="1:3">
      <c r="A19" s="31" t="s">
        <v>129</v>
      </c>
      <c r="B19" s="31" t="s">
        <v>122</v>
      </c>
      <c r="C19" s="32">
        <v>5.0400916380297825E-2</v>
      </c>
    </row>
    <row r="20" spans="1:3">
      <c r="A20" s="26" t="s">
        <v>123</v>
      </c>
      <c r="B20" s="26" t="s">
        <v>111</v>
      </c>
      <c r="C20" s="27">
        <f>0.202857142857143+0.204571428571429</f>
        <v>0.40742857142857203</v>
      </c>
    </row>
    <row r="21" spans="1:3">
      <c r="A21" t="s">
        <v>123</v>
      </c>
      <c r="B21" t="s">
        <v>112</v>
      </c>
      <c r="C21" s="11">
        <v>0.28628571428571431</v>
      </c>
    </row>
    <row r="22" spans="1:3">
      <c r="A22" t="s">
        <v>124</v>
      </c>
      <c r="B22" t="s">
        <v>113</v>
      </c>
      <c r="C22" s="11">
        <v>8.6285714285714285E-2</v>
      </c>
    </row>
    <row r="23" spans="1:3">
      <c r="A23" s="14" t="s">
        <v>123</v>
      </c>
      <c r="B23" s="14" t="s">
        <v>108</v>
      </c>
      <c r="C23" s="28">
        <v>0.22</v>
      </c>
    </row>
    <row r="24" spans="1:3">
      <c r="A24" s="29" t="s">
        <v>125</v>
      </c>
      <c r="B24" s="29" t="s">
        <v>108</v>
      </c>
      <c r="C24" s="30">
        <v>0.24538745387453875</v>
      </c>
    </row>
    <row r="25" spans="1:3">
      <c r="A25" s="6" t="s">
        <v>125</v>
      </c>
      <c r="B25" s="6" t="s">
        <v>111</v>
      </c>
      <c r="C25" s="12">
        <f>0.159594095940959+0.122693726937269</f>
        <v>0.28228782287822801</v>
      </c>
    </row>
    <row r="26" spans="1:3">
      <c r="A26" s="6" t="s">
        <v>125</v>
      </c>
      <c r="B26" s="6" t="s">
        <v>112</v>
      </c>
      <c r="C26" s="12">
        <v>0.22555350553505535</v>
      </c>
    </row>
    <row r="27" spans="1:3">
      <c r="A27" s="6" t="s">
        <v>125</v>
      </c>
      <c r="B27" s="6" t="s">
        <v>114</v>
      </c>
      <c r="C27" s="12">
        <v>6.226937269372694E-2</v>
      </c>
    </row>
    <row r="28" spans="1:3">
      <c r="A28" s="31" t="s">
        <v>125</v>
      </c>
      <c r="B28" s="31" t="s">
        <v>116</v>
      </c>
      <c r="C28" s="32">
        <v>0.18450184501845018</v>
      </c>
    </row>
    <row r="29" spans="1:3">
      <c r="A29" t="s">
        <v>126</v>
      </c>
      <c r="B29" t="s">
        <v>108</v>
      </c>
      <c r="C29" s="11">
        <v>0.41176470588235292</v>
      </c>
    </row>
    <row r="30" spans="1:3">
      <c r="A30" t="s">
        <v>126</v>
      </c>
      <c r="B30" t="s">
        <v>111</v>
      </c>
      <c r="C30" s="11">
        <v>0.20989304812834225</v>
      </c>
    </row>
    <row r="31" spans="1:3">
      <c r="A31" t="s">
        <v>126</v>
      </c>
      <c r="B31" t="s">
        <v>112</v>
      </c>
      <c r="C31" s="11">
        <f>0.141042780748663+0.154411764705882</f>
        <v>0.29545454545454497</v>
      </c>
    </row>
    <row r="32" spans="1:3">
      <c r="A32" s="14" t="s">
        <v>126</v>
      </c>
      <c r="B32" s="14" t="s">
        <v>113</v>
      </c>
      <c r="C32" s="28">
        <v>8.2887700534759357E-2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9D283-32A8-5F41-A343-CFFCE38344F5}">
  <dimension ref="A1:N37"/>
  <sheetViews>
    <sheetView zoomScaleNormal="50" workbookViewId="0">
      <selection activeCell="E12" sqref="E12"/>
    </sheetView>
  </sheetViews>
  <sheetFormatPr baseColWidth="10" defaultRowHeight="20"/>
  <cols>
    <col min="1" max="1" width="26.7109375" bestFit="1" customWidth="1"/>
    <col min="2" max="2" width="15" bestFit="1" customWidth="1"/>
    <col min="3" max="3" width="19.85546875" style="1" bestFit="1" customWidth="1"/>
    <col min="4" max="4" width="36.28515625" style="1" bestFit="1" customWidth="1"/>
    <col min="5" max="6" width="36.28515625" style="1" customWidth="1"/>
    <col min="7" max="7" width="44.140625" style="1" bestFit="1" customWidth="1"/>
    <col min="8" max="8" width="16.140625" style="1" bestFit="1" customWidth="1"/>
    <col min="9" max="9" width="16.5703125" style="1" bestFit="1" customWidth="1"/>
    <col min="10" max="10" width="13.7109375" style="1" bestFit="1" customWidth="1"/>
    <col min="11" max="11" width="36.28515625" style="1" customWidth="1"/>
    <col min="12" max="12" width="44.140625" bestFit="1" customWidth="1"/>
    <col min="13" max="13" width="16.140625" bestFit="1" customWidth="1"/>
    <col min="14" max="14" width="16.5703125" bestFit="1" customWidth="1"/>
  </cols>
  <sheetData>
    <row r="1" spans="1:14">
      <c r="A1" t="s">
        <v>107</v>
      </c>
      <c r="B1" t="s">
        <v>2</v>
      </c>
      <c r="C1" s="1" t="s">
        <v>269</v>
      </c>
      <c r="D1" s="1" t="s">
        <v>99</v>
      </c>
      <c r="E1" s="1" t="s">
        <v>280</v>
      </c>
      <c r="F1" s="1" t="s">
        <v>279</v>
      </c>
      <c r="G1" s="1" t="s">
        <v>130</v>
      </c>
      <c r="H1" s="1" t="s">
        <v>131</v>
      </c>
      <c r="I1" s="1" t="s">
        <v>132</v>
      </c>
      <c r="J1" s="1" t="s">
        <v>250</v>
      </c>
      <c r="K1" s="1" t="s">
        <v>98</v>
      </c>
    </row>
    <row r="2" spans="1:14">
      <c r="A2" s="6" t="s">
        <v>251</v>
      </c>
      <c r="B2" s="6">
        <v>253</v>
      </c>
      <c r="C2" s="8">
        <v>0.12311435523114356</v>
      </c>
      <c r="D2" s="2" t="s">
        <v>28</v>
      </c>
      <c r="E2" s="1" t="s">
        <v>281</v>
      </c>
      <c r="F2" s="2" t="s">
        <v>288</v>
      </c>
      <c r="G2" s="34" t="s">
        <v>156</v>
      </c>
      <c r="H2" s="34" t="s">
        <v>157</v>
      </c>
      <c r="I2" s="34" t="s">
        <v>158</v>
      </c>
      <c r="J2" s="34">
        <v>84.090999999999994</v>
      </c>
      <c r="K2" s="2" t="s">
        <v>257</v>
      </c>
      <c r="L2" s="38"/>
      <c r="M2" s="39"/>
      <c r="N2" s="38"/>
    </row>
    <row r="3" spans="1:14">
      <c r="A3" s="6" t="s">
        <v>251</v>
      </c>
      <c r="B3" s="6">
        <v>144</v>
      </c>
      <c r="C3" s="8">
        <v>7.0072992700729933E-2</v>
      </c>
      <c r="D3" s="2" t="s">
        <v>249</v>
      </c>
      <c r="E3" s="1" t="s">
        <v>284</v>
      </c>
      <c r="F3" s="1" t="s">
        <v>285</v>
      </c>
      <c r="G3" s="34" t="s">
        <v>283</v>
      </c>
      <c r="H3" s="34" t="s">
        <v>248</v>
      </c>
      <c r="I3" s="2" t="s">
        <v>247</v>
      </c>
      <c r="J3" s="34">
        <v>83.099000000000004</v>
      </c>
      <c r="K3" s="2" t="s">
        <v>258</v>
      </c>
      <c r="L3" s="38"/>
      <c r="M3" s="38"/>
    </row>
    <row r="4" spans="1:14">
      <c r="A4" s="6" t="s">
        <v>251</v>
      </c>
      <c r="B4" s="6">
        <v>314</v>
      </c>
      <c r="C4" s="8">
        <v>0.15279805352798054</v>
      </c>
      <c r="D4" s="2" t="s">
        <v>97</v>
      </c>
      <c r="E4" s="1" t="s">
        <v>281</v>
      </c>
      <c r="F4" s="1" t="s">
        <v>282</v>
      </c>
      <c r="G4" s="34" t="s">
        <v>112</v>
      </c>
      <c r="H4" s="34" t="s">
        <v>177</v>
      </c>
      <c r="I4" s="2" t="s">
        <v>178</v>
      </c>
      <c r="J4" s="34">
        <v>98.908000000000001</v>
      </c>
      <c r="K4" s="2" t="s">
        <v>259</v>
      </c>
      <c r="L4" s="38"/>
      <c r="M4" s="39"/>
    </row>
    <row r="5" spans="1:14">
      <c r="A5" s="6" t="s">
        <v>251</v>
      </c>
      <c r="B5" s="6">
        <v>154</v>
      </c>
      <c r="C5" s="8">
        <v>7.4939172749391728E-2</v>
      </c>
      <c r="D5" s="2" t="s">
        <v>246</v>
      </c>
      <c r="E5" s="1" t="s">
        <v>281</v>
      </c>
      <c r="F5" s="2" t="s">
        <v>282</v>
      </c>
      <c r="G5" s="34" t="s">
        <v>110</v>
      </c>
      <c r="H5" s="2" t="s">
        <v>146</v>
      </c>
      <c r="I5" s="34" t="s">
        <v>245</v>
      </c>
      <c r="J5" s="34">
        <v>93.974999999999994</v>
      </c>
      <c r="K5" s="2" t="s">
        <v>270</v>
      </c>
      <c r="L5" s="38"/>
      <c r="N5" s="38"/>
    </row>
    <row r="6" spans="1:14">
      <c r="A6" s="6" t="s">
        <v>251</v>
      </c>
      <c r="B6" s="6">
        <v>288</v>
      </c>
      <c r="C6" s="8">
        <v>0.14014598540145987</v>
      </c>
      <c r="D6" s="2" t="s">
        <v>244</v>
      </c>
      <c r="E6" s="1" t="s">
        <v>281</v>
      </c>
      <c r="F6" s="2" t="s">
        <v>282</v>
      </c>
      <c r="G6" s="2" t="s">
        <v>112</v>
      </c>
      <c r="H6" s="2" t="s">
        <v>177</v>
      </c>
      <c r="I6" s="2" t="s">
        <v>178</v>
      </c>
      <c r="J6" s="2">
        <v>97.646000000000001</v>
      </c>
      <c r="K6" s="2" t="s">
        <v>266</v>
      </c>
      <c r="L6" s="38"/>
      <c r="M6" s="39"/>
    </row>
    <row r="7" spans="1:14">
      <c r="A7" s="6" t="s">
        <v>251</v>
      </c>
      <c r="B7" s="6">
        <v>175</v>
      </c>
      <c r="C7" s="8">
        <v>8.5158150851581502E-2</v>
      </c>
      <c r="D7" s="2" t="s">
        <v>88</v>
      </c>
      <c r="E7" s="1" t="s">
        <v>281</v>
      </c>
      <c r="F7" s="2" t="s">
        <v>282</v>
      </c>
      <c r="G7" s="2" t="s">
        <v>112</v>
      </c>
      <c r="H7" s="2" t="s">
        <v>177</v>
      </c>
      <c r="I7" s="2" t="s">
        <v>229</v>
      </c>
      <c r="J7" s="2">
        <v>96.007999999999996</v>
      </c>
      <c r="K7" s="2" t="s">
        <v>271</v>
      </c>
      <c r="L7" s="38"/>
      <c r="M7" s="39"/>
    </row>
    <row r="8" spans="1:14">
      <c r="A8" s="6" t="s">
        <v>251</v>
      </c>
      <c r="B8" s="6">
        <v>580</v>
      </c>
      <c r="C8" s="8">
        <v>0.28223844282238442</v>
      </c>
      <c r="D8" s="2" t="s">
        <v>104</v>
      </c>
      <c r="E8" s="1" t="s">
        <v>290</v>
      </c>
      <c r="F8" s="1" t="s">
        <v>291</v>
      </c>
      <c r="G8" s="2" t="s">
        <v>289</v>
      </c>
      <c r="H8" s="2" t="s">
        <v>219</v>
      </c>
      <c r="I8" s="2" t="s">
        <v>272</v>
      </c>
      <c r="J8" s="2">
        <v>89.474000000000004</v>
      </c>
      <c r="K8" s="2" t="s">
        <v>260</v>
      </c>
      <c r="L8" s="38"/>
      <c r="M8" s="38"/>
    </row>
    <row r="9" spans="1:14">
      <c r="A9" s="6" t="s">
        <v>251</v>
      </c>
      <c r="B9" s="6">
        <v>147</v>
      </c>
      <c r="C9" s="8">
        <v>7.153284671532846E-2</v>
      </c>
      <c r="D9" s="2" t="s">
        <v>243</v>
      </c>
      <c r="E9" s="1" t="s">
        <v>290</v>
      </c>
      <c r="F9" s="1" t="s">
        <v>291</v>
      </c>
      <c r="G9" s="2" t="s">
        <v>220</v>
      </c>
      <c r="H9" s="2" t="s">
        <v>219</v>
      </c>
      <c r="I9" s="2" t="s">
        <v>242</v>
      </c>
      <c r="J9" s="2">
        <v>88.962000000000003</v>
      </c>
      <c r="K9" s="2" t="s">
        <v>277</v>
      </c>
      <c r="L9" s="38"/>
      <c r="M9" s="38"/>
    </row>
    <row r="10" spans="1:14">
      <c r="A10" t="s">
        <v>252</v>
      </c>
      <c r="B10">
        <v>561</v>
      </c>
      <c r="C10" s="7">
        <v>0.2695819317635752</v>
      </c>
      <c r="D10" s="1" t="s">
        <v>104</v>
      </c>
      <c r="E10" s="1" t="s">
        <v>290</v>
      </c>
      <c r="F10" s="1" t="s">
        <v>291</v>
      </c>
      <c r="G10" s="1" t="s">
        <v>220</v>
      </c>
      <c r="H10" s="1" t="s">
        <v>219</v>
      </c>
      <c r="I10" s="1" t="s">
        <v>278</v>
      </c>
      <c r="J10" s="1">
        <v>89.474000000000004</v>
      </c>
      <c r="K10" s="1" t="s">
        <v>260</v>
      </c>
      <c r="L10" s="38"/>
      <c r="M10" s="38"/>
    </row>
    <row r="11" spans="1:14">
      <c r="A11" t="s">
        <v>252</v>
      </c>
      <c r="B11">
        <v>497</v>
      </c>
      <c r="C11" s="7">
        <v>0.23882748678519941</v>
      </c>
      <c r="D11" s="1" t="s">
        <v>97</v>
      </c>
      <c r="E11" s="1" t="s">
        <v>281</v>
      </c>
      <c r="F11" s="2" t="s">
        <v>282</v>
      </c>
      <c r="G11" s="1" t="s">
        <v>112</v>
      </c>
      <c r="H11" s="1" t="s">
        <v>177</v>
      </c>
      <c r="I11" s="1" t="s">
        <v>178</v>
      </c>
      <c r="J11" s="1">
        <v>98.908000000000001</v>
      </c>
      <c r="K11" s="1" t="s">
        <v>259</v>
      </c>
      <c r="L11" s="38"/>
      <c r="M11" s="39"/>
    </row>
    <row r="12" spans="1:14">
      <c r="A12" t="s">
        <v>252</v>
      </c>
      <c r="B12">
        <v>105</v>
      </c>
      <c r="C12" s="7">
        <v>5.0456511292647763E-2</v>
      </c>
      <c r="D12" s="1" t="s">
        <v>237</v>
      </c>
      <c r="E12" s="1" t="s">
        <v>293</v>
      </c>
      <c r="F12" s="1" t="s">
        <v>294</v>
      </c>
      <c r="G12" s="7" t="s">
        <v>236</v>
      </c>
      <c r="H12" s="1" t="s">
        <v>235</v>
      </c>
      <c r="I12" s="1" t="s">
        <v>234</v>
      </c>
      <c r="J12" s="1">
        <v>84.299000000000007</v>
      </c>
      <c r="K12" s="1" t="s">
        <v>276</v>
      </c>
      <c r="L12" s="11"/>
      <c r="M12" s="38"/>
    </row>
    <row r="13" spans="1:14">
      <c r="A13" t="s">
        <v>252</v>
      </c>
      <c r="B13">
        <v>519</v>
      </c>
      <c r="C13" s="7">
        <v>0.24939932724651609</v>
      </c>
      <c r="D13" s="1" t="s">
        <v>18</v>
      </c>
      <c r="E13" s="1" t="s">
        <v>281</v>
      </c>
      <c r="F13" s="2" t="s">
        <v>282</v>
      </c>
      <c r="G13" s="1" t="s">
        <v>112</v>
      </c>
      <c r="H13" s="1" t="s">
        <v>177</v>
      </c>
      <c r="I13" s="1" t="s">
        <v>178</v>
      </c>
      <c r="J13" s="1">
        <v>97.646000000000001</v>
      </c>
      <c r="K13" s="1" t="s">
        <v>266</v>
      </c>
      <c r="L13" s="38"/>
      <c r="M13" s="39"/>
    </row>
    <row r="14" spans="1:14">
      <c r="A14" t="s">
        <v>252</v>
      </c>
      <c r="B14">
        <v>399</v>
      </c>
      <c r="C14" s="7">
        <v>0.1917347429120615</v>
      </c>
      <c r="D14" s="1" t="s">
        <v>241</v>
      </c>
      <c r="E14" s="1" t="s">
        <v>284</v>
      </c>
      <c r="F14" s="1" t="s">
        <v>292</v>
      </c>
      <c r="G14" s="7" t="s">
        <v>228</v>
      </c>
      <c r="H14" s="1" t="s">
        <v>227</v>
      </c>
      <c r="I14" s="1" t="s">
        <v>226</v>
      </c>
      <c r="J14" s="1">
        <v>73.658000000000001</v>
      </c>
      <c r="K14" s="1" t="s">
        <v>273</v>
      </c>
      <c r="L14" s="11"/>
    </row>
    <row r="15" spans="1:14">
      <c r="A15" s="6" t="s">
        <v>253</v>
      </c>
      <c r="B15" s="6">
        <v>122</v>
      </c>
      <c r="C15" s="8">
        <v>5.4391440035666518E-2</v>
      </c>
      <c r="D15" s="2" t="s">
        <v>240</v>
      </c>
      <c r="E15" s="1" t="s">
        <v>290</v>
      </c>
      <c r="F15" s="1" t="s">
        <v>291</v>
      </c>
      <c r="G15" s="2" t="s">
        <v>220</v>
      </c>
      <c r="H15" s="2" t="s">
        <v>239</v>
      </c>
      <c r="I15" s="2" t="s">
        <v>238</v>
      </c>
      <c r="J15" s="2">
        <v>89.844999999999999</v>
      </c>
      <c r="K15" s="2" t="s">
        <v>274</v>
      </c>
      <c r="L15" s="38"/>
    </row>
    <row r="16" spans="1:14">
      <c r="A16" s="6" t="s">
        <v>253</v>
      </c>
      <c r="B16" s="6">
        <v>122</v>
      </c>
      <c r="C16" s="8">
        <v>5.4391440035666518E-2</v>
      </c>
      <c r="D16" s="2" t="s">
        <v>237</v>
      </c>
      <c r="E16" s="1" t="s">
        <v>294</v>
      </c>
      <c r="F16" s="1" t="s">
        <v>236</v>
      </c>
      <c r="G16" s="8" t="s">
        <v>236</v>
      </c>
      <c r="H16" s="2" t="s">
        <v>235</v>
      </c>
      <c r="I16" s="2" t="s">
        <v>234</v>
      </c>
      <c r="J16" s="2">
        <v>84.352999999999994</v>
      </c>
      <c r="K16" s="2" t="s">
        <v>276</v>
      </c>
      <c r="L16" s="11"/>
      <c r="M16" s="38"/>
    </row>
    <row r="17" spans="1:14">
      <c r="A17" s="6" t="s">
        <v>253</v>
      </c>
      <c r="B17" s="6">
        <v>156</v>
      </c>
      <c r="C17" s="8">
        <v>6.9549710209540788E-2</v>
      </c>
      <c r="D17" s="2" t="s">
        <v>225</v>
      </c>
      <c r="E17" s="1" t="s">
        <v>281</v>
      </c>
      <c r="F17" s="2" t="s">
        <v>288</v>
      </c>
      <c r="G17" s="2" t="s">
        <v>112</v>
      </c>
      <c r="H17" s="2" t="s">
        <v>157</v>
      </c>
      <c r="I17" s="2" t="s">
        <v>158</v>
      </c>
      <c r="J17" s="2">
        <v>85.713999999999999</v>
      </c>
      <c r="K17" s="2" t="s">
        <v>257</v>
      </c>
      <c r="L17" s="38"/>
      <c r="M17" s="39"/>
      <c r="N17" s="38"/>
    </row>
    <row r="18" spans="1:14">
      <c r="A18" s="6" t="s">
        <v>253</v>
      </c>
      <c r="B18" s="6">
        <v>230</v>
      </c>
      <c r="C18" s="8">
        <v>0.10254123941150245</v>
      </c>
      <c r="D18" s="2" t="s">
        <v>233</v>
      </c>
      <c r="E18" s="1" t="s">
        <v>284</v>
      </c>
      <c r="F18" s="1" t="s">
        <v>285</v>
      </c>
      <c r="G18" s="8" t="s">
        <v>174</v>
      </c>
      <c r="H18" s="2" t="s">
        <v>175</v>
      </c>
      <c r="I18" s="2" t="s">
        <v>176</v>
      </c>
      <c r="J18" s="2">
        <v>97.694999999999993</v>
      </c>
      <c r="K18" s="2" t="s">
        <v>275</v>
      </c>
      <c r="L18" s="11"/>
    </row>
    <row r="19" spans="1:14">
      <c r="A19" s="6" t="s">
        <v>253</v>
      </c>
      <c r="B19" s="6">
        <v>199</v>
      </c>
      <c r="C19" s="8">
        <v>8.8720463664734725E-2</v>
      </c>
      <c r="D19" s="2" t="s">
        <v>95</v>
      </c>
      <c r="E19" s="1" t="s">
        <v>284</v>
      </c>
      <c r="F19" s="1" t="s">
        <v>292</v>
      </c>
      <c r="G19" s="8" t="s">
        <v>232</v>
      </c>
      <c r="H19" s="2" t="s">
        <v>231</v>
      </c>
      <c r="I19" s="2" t="s">
        <v>230</v>
      </c>
      <c r="J19" s="2">
        <v>99.578000000000003</v>
      </c>
      <c r="K19" s="2" t="s">
        <v>265</v>
      </c>
      <c r="L19" s="11"/>
    </row>
    <row r="20" spans="1:14">
      <c r="A20" s="6" t="s">
        <v>253</v>
      </c>
      <c r="B20" s="6">
        <v>523</v>
      </c>
      <c r="C20" s="8">
        <v>0.23316986179224253</v>
      </c>
      <c r="D20" s="2" t="s">
        <v>97</v>
      </c>
      <c r="E20" s="1" t="s">
        <v>281</v>
      </c>
      <c r="F20" s="1" t="s">
        <v>282</v>
      </c>
      <c r="G20" s="2" t="s">
        <v>112</v>
      </c>
      <c r="H20" s="2" t="s">
        <v>177</v>
      </c>
      <c r="I20" s="2" t="s">
        <v>178</v>
      </c>
      <c r="J20" s="2">
        <v>98.909000000000006</v>
      </c>
      <c r="K20" s="2" t="s">
        <v>259</v>
      </c>
      <c r="L20" s="38"/>
      <c r="M20" s="39"/>
    </row>
    <row r="21" spans="1:14">
      <c r="A21" s="6" t="s">
        <v>253</v>
      </c>
      <c r="B21" s="6">
        <v>358</v>
      </c>
      <c r="C21" s="8">
        <v>0.15960766830138207</v>
      </c>
      <c r="D21" s="2" t="s">
        <v>26</v>
      </c>
      <c r="E21" s="1" t="s">
        <v>290</v>
      </c>
      <c r="F21" s="1" t="s">
        <v>291</v>
      </c>
      <c r="G21" s="2" t="s">
        <v>220</v>
      </c>
      <c r="H21" s="2" t="s">
        <v>219</v>
      </c>
      <c r="I21" s="2" t="s">
        <v>272</v>
      </c>
      <c r="J21" s="2">
        <v>89.474000000000004</v>
      </c>
      <c r="K21" s="2" t="s">
        <v>260</v>
      </c>
      <c r="L21" s="38"/>
      <c r="M21" s="38"/>
    </row>
    <row r="22" spans="1:14">
      <c r="A22" s="6" t="s">
        <v>253</v>
      </c>
      <c r="B22" s="6">
        <v>146</v>
      </c>
      <c r="C22" s="8">
        <v>6.5091395452518949E-2</v>
      </c>
      <c r="D22" s="2" t="s">
        <v>88</v>
      </c>
      <c r="E22" s="1" t="s">
        <v>281</v>
      </c>
      <c r="F22" s="2" t="s">
        <v>282</v>
      </c>
      <c r="G22" s="2" t="s">
        <v>112</v>
      </c>
      <c r="H22" s="2" t="s">
        <v>177</v>
      </c>
      <c r="I22" s="2" t="s">
        <v>229</v>
      </c>
      <c r="J22" s="2">
        <v>96.07</v>
      </c>
      <c r="K22" s="2" t="s">
        <v>271</v>
      </c>
      <c r="L22" s="38"/>
      <c r="M22" s="39"/>
    </row>
    <row r="23" spans="1:14">
      <c r="A23" s="6" t="s">
        <v>253</v>
      </c>
      <c r="B23" s="6">
        <v>387</v>
      </c>
      <c r="C23" s="8">
        <v>0.17253678109674542</v>
      </c>
      <c r="D23" s="2" t="s">
        <v>18</v>
      </c>
      <c r="E23" s="1" t="s">
        <v>281</v>
      </c>
      <c r="F23" s="1" t="s">
        <v>282</v>
      </c>
      <c r="G23" s="8" t="s">
        <v>228</v>
      </c>
      <c r="H23" s="2" t="s">
        <v>227</v>
      </c>
      <c r="I23" s="2" t="s">
        <v>226</v>
      </c>
      <c r="J23" s="8">
        <v>97.64</v>
      </c>
      <c r="K23" s="2" t="s">
        <v>266</v>
      </c>
      <c r="L23" s="11"/>
    </row>
    <row r="24" spans="1:14">
      <c r="A24" t="s">
        <v>254</v>
      </c>
      <c r="B24">
        <v>476</v>
      </c>
      <c r="C24" s="7">
        <v>0.24174707973590656</v>
      </c>
      <c r="D24" s="1" t="s">
        <v>26</v>
      </c>
      <c r="E24" s="1" t="s">
        <v>290</v>
      </c>
      <c r="F24" s="1" t="s">
        <v>291</v>
      </c>
      <c r="G24" s="1" t="s">
        <v>220</v>
      </c>
      <c r="H24" s="1" t="s">
        <v>219</v>
      </c>
      <c r="I24" s="1" t="s">
        <v>272</v>
      </c>
      <c r="J24" s="1">
        <v>89.945999999999998</v>
      </c>
      <c r="K24" s="1" t="s">
        <v>260</v>
      </c>
      <c r="L24" s="38"/>
      <c r="M24" s="38"/>
    </row>
    <row r="25" spans="1:14">
      <c r="A25" t="s">
        <v>254</v>
      </c>
      <c r="B25">
        <v>108</v>
      </c>
      <c r="C25" s="7">
        <v>6.4056939501779361E-2</v>
      </c>
      <c r="D25" s="1" t="s">
        <v>268</v>
      </c>
      <c r="E25" s="1" t="s">
        <v>295</v>
      </c>
      <c r="F25" s="1" t="s">
        <v>296</v>
      </c>
      <c r="G25" s="7" t="s">
        <v>111</v>
      </c>
      <c r="H25" s="1" t="s">
        <v>192</v>
      </c>
      <c r="I25" s="1" t="s">
        <v>193</v>
      </c>
      <c r="J25" s="1">
        <v>99.388000000000005</v>
      </c>
      <c r="K25" s="1" t="s">
        <v>262</v>
      </c>
      <c r="L25" s="11"/>
    </row>
    <row r="26" spans="1:14">
      <c r="A26" t="s">
        <v>254</v>
      </c>
      <c r="B26">
        <v>838</v>
      </c>
      <c r="C26" s="7">
        <v>0.41362290227048371</v>
      </c>
      <c r="D26" s="1" t="s">
        <v>225</v>
      </c>
      <c r="E26" s="1" t="s">
        <v>281</v>
      </c>
      <c r="F26" s="2" t="s">
        <v>288</v>
      </c>
      <c r="G26" s="1" t="s">
        <v>112</v>
      </c>
      <c r="H26" s="1" t="s">
        <v>157</v>
      </c>
      <c r="I26" s="1" t="s">
        <v>158</v>
      </c>
      <c r="J26" s="1">
        <v>84.090999999999994</v>
      </c>
      <c r="K26" s="1" t="s">
        <v>257</v>
      </c>
      <c r="L26" s="38"/>
      <c r="M26" s="39"/>
      <c r="N26" s="38"/>
    </row>
    <row r="27" spans="1:14">
      <c r="A27" t="s">
        <v>254</v>
      </c>
      <c r="B27">
        <v>547</v>
      </c>
      <c r="C27" s="7">
        <v>0.23689909051537461</v>
      </c>
      <c r="D27" s="1" t="s">
        <v>190</v>
      </c>
      <c r="E27" s="1" t="s">
        <v>299</v>
      </c>
      <c r="F27" s="1" t="s">
        <v>296</v>
      </c>
      <c r="G27" s="7" t="s">
        <v>111</v>
      </c>
      <c r="H27" s="1" t="s">
        <v>192</v>
      </c>
      <c r="I27" s="1" t="s">
        <v>193</v>
      </c>
      <c r="J27" s="1">
        <v>96.164000000000001</v>
      </c>
      <c r="K27" s="1" t="s">
        <v>261</v>
      </c>
      <c r="L27" s="11"/>
    </row>
    <row r="28" spans="1:14">
      <c r="A28" s="6" t="s">
        <v>255</v>
      </c>
      <c r="B28" s="6">
        <v>193</v>
      </c>
      <c r="C28" s="8">
        <v>8.3731019522776576E-2</v>
      </c>
      <c r="D28" s="2" t="s">
        <v>224</v>
      </c>
      <c r="E28" s="1" t="s">
        <v>297</v>
      </c>
      <c r="F28" s="1" t="s">
        <v>298</v>
      </c>
      <c r="G28" s="8" t="s">
        <v>223</v>
      </c>
      <c r="H28" s="2" t="s">
        <v>222</v>
      </c>
      <c r="I28" s="2" t="s">
        <v>221</v>
      </c>
      <c r="J28" s="2">
        <v>89.384</v>
      </c>
      <c r="K28" s="2" t="s">
        <v>267</v>
      </c>
      <c r="L28" s="11"/>
    </row>
    <row r="29" spans="1:14">
      <c r="A29" s="6" t="s">
        <v>255</v>
      </c>
      <c r="B29" s="6">
        <v>448</v>
      </c>
      <c r="C29" s="8">
        <v>0.19436008676789587</v>
      </c>
      <c r="D29" s="2" t="s">
        <v>28</v>
      </c>
      <c r="E29" s="1" t="s">
        <v>281</v>
      </c>
      <c r="F29" s="2" t="s">
        <v>288</v>
      </c>
      <c r="G29" s="2" t="s">
        <v>112</v>
      </c>
      <c r="H29" s="2" t="s">
        <v>157</v>
      </c>
      <c r="I29" s="2" t="s">
        <v>158</v>
      </c>
      <c r="J29" s="2">
        <v>85.713999999999999</v>
      </c>
      <c r="K29" s="2" t="s">
        <v>257</v>
      </c>
      <c r="L29" s="38"/>
      <c r="M29" s="39"/>
      <c r="N29" s="38"/>
    </row>
    <row r="30" spans="1:14">
      <c r="A30" s="6" t="s">
        <v>255</v>
      </c>
      <c r="B30" s="6">
        <v>1121</v>
      </c>
      <c r="C30" s="8">
        <v>0.4863340563991323</v>
      </c>
      <c r="D30" s="2" t="s">
        <v>190</v>
      </c>
      <c r="E30" s="1" t="s">
        <v>295</v>
      </c>
      <c r="F30" s="1" t="s">
        <v>296</v>
      </c>
      <c r="G30" s="8" t="s">
        <v>111</v>
      </c>
      <c r="H30" s="2" t="s">
        <v>192</v>
      </c>
      <c r="I30" s="2" t="s">
        <v>193</v>
      </c>
      <c r="J30" s="2">
        <v>96.164000000000001</v>
      </c>
      <c r="K30" s="2" t="s">
        <v>263</v>
      </c>
      <c r="L30" s="11"/>
    </row>
    <row r="31" spans="1:14">
      <c r="A31" s="6" t="s">
        <v>255</v>
      </c>
      <c r="B31" s="6">
        <v>197</v>
      </c>
      <c r="C31" s="8">
        <v>8.5466377440347074E-2</v>
      </c>
      <c r="D31" s="2" t="s">
        <v>268</v>
      </c>
      <c r="E31" s="1" t="s">
        <v>295</v>
      </c>
      <c r="F31" s="1" t="s">
        <v>296</v>
      </c>
      <c r="G31" s="8" t="s">
        <v>111</v>
      </c>
      <c r="H31" s="2" t="s">
        <v>192</v>
      </c>
      <c r="I31" s="2" t="s">
        <v>193</v>
      </c>
      <c r="J31" s="2">
        <v>99.388000000000005</v>
      </c>
      <c r="K31" s="2" t="s">
        <v>262</v>
      </c>
      <c r="L31" s="11"/>
    </row>
    <row r="32" spans="1:14">
      <c r="A32" s="6" t="s">
        <v>255</v>
      </c>
      <c r="B32" s="6">
        <v>346</v>
      </c>
      <c r="C32" s="8">
        <v>0.15010845986984817</v>
      </c>
      <c r="D32" s="2" t="s">
        <v>26</v>
      </c>
      <c r="E32" s="1" t="s">
        <v>290</v>
      </c>
      <c r="F32" s="1" t="s">
        <v>291</v>
      </c>
      <c r="G32" s="2" t="s">
        <v>220</v>
      </c>
      <c r="H32" s="2" t="s">
        <v>219</v>
      </c>
      <c r="I32" s="2" t="s">
        <v>272</v>
      </c>
      <c r="J32" s="2">
        <v>89.495000000000005</v>
      </c>
      <c r="K32" s="2" t="s">
        <v>260</v>
      </c>
      <c r="L32" s="38"/>
      <c r="M32" s="38"/>
    </row>
    <row r="33" spans="1:14">
      <c r="A33" t="s">
        <v>256</v>
      </c>
      <c r="B33">
        <v>283</v>
      </c>
      <c r="C33" s="7">
        <v>0.14747264200104221</v>
      </c>
      <c r="D33" s="1" t="s">
        <v>224</v>
      </c>
      <c r="E33" s="1" t="s">
        <v>297</v>
      </c>
      <c r="F33" s="1" t="s">
        <v>298</v>
      </c>
      <c r="G33" s="7" t="s">
        <v>223</v>
      </c>
      <c r="H33" s="1" t="s">
        <v>222</v>
      </c>
      <c r="I33" s="1" t="s">
        <v>221</v>
      </c>
      <c r="J33" s="1">
        <v>89.384</v>
      </c>
      <c r="K33" s="1" t="s">
        <v>267</v>
      </c>
      <c r="L33" s="11"/>
    </row>
    <row r="34" spans="1:14">
      <c r="A34" t="s">
        <v>256</v>
      </c>
      <c r="B34">
        <v>724</v>
      </c>
      <c r="C34" s="7">
        <v>0.37727983324648257</v>
      </c>
      <c r="D34" s="1" t="s">
        <v>28</v>
      </c>
      <c r="E34" s="1" t="s">
        <v>281</v>
      </c>
      <c r="F34" s="2" t="s">
        <v>288</v>
      </c>
      <c r="G34" s="1" t="s">
        <v>112</v>
      </c>
      <c r="H34" s="1" t="s">
        <v>157</v>
      </c>
      <c r="I34" s="1" t="s">
        <v>158</v>
      </c>
      <c r="J34" s="1">
        <v>85.713999999999999</v>
      </c>
      <c r="K34" s="1" t="s">
        <v>257</v>
      </c>
      <c r="L34" s="38"/>
      <c r="M34" s="39"/>
      <c r="N34" s="38"/>
    </row>
    <row r="35" spans="1:14">
      <c r="A35" t="s">
        <v>256</v>
      </c>
      <c r="B35">
        <v>320</v>
      </c>
      <c r="C35" s="7">
        <v>0.16675351745700887</v>
      </c>
      <c r="D35" s="1" t="s">
        <v>184</v>
      </c>
      <c r="E35" s="1" t="s">
        <v>284</v>
      </c>
      <c r="F35" s="1" t="s">
        <v>292</v>
      </c>
      <c r="G35" s="7" t="s">
        <v>108</v>
      </c>
      <c r="H35" s="1" t="s">
        <v>153</v>
      </c>
      <c r="I35" s="1" t="s">
        <v>185</v>
      </c>
      <c r="J35" s="1">
        <v>69.313000000000002</v>
      </c>
      <c r="K35" s="1" t="s">
        <v>264</v>
      </c>
      <c r="L35" s="11"/>
    </row>
    <row r="36" spans="1:14">
      <c r="A36" t="s">
        <v>256</v>
      </c>
      <c r="B36">
        <v>116</v>
      </c>
      <c r="C36" s="7">
        <v>6.0448150078165709E-2</v>
      </c>
      <c r="D36" s="1" t="s">
        <v>26</v>
      </c>
      <c r="E36" s="1" t="s">
        <v>290</v>
      </c>
      <c r="F36" s="1" t="s">
        <v>291</v>
      </c>
      <c r="G36" s="1" t="s">
        <v>220</v>
      </c>
      <c r="H36" s="1" t="s">
        <v>219</v>
      </c>
      <c r="I36" s="1" t="s">
        <v>272</v>
      </c>
      <c r="J36" s="1">
        <v>89.474000000000004</v>
      </c>
      <c r="K36" s="1" t="s">
        <v>260</v>
      </c>
      <c r="L36" s="38"/>
      <c r="M36" s="38"/>
    </row>
    <row r="37" spans="1:14">
      <c r="A37" t="s">
        <v>256</v>
      </c>
      <c r="B37">
        <v>476</v>
      </c>
      <c r="C37" s="7">
        <v>0.24804585721730069</v>
      </c>
      <c r="D37" s="1" t="s">
        <v>190</v>
      </c>
      <c r="E37" s="1" t="s">
        <v>295</v>
      </c>
      <c r="F37" s="1" t="s">
        <v>296</v>
      </c>
      <c r="G37" s="7" t="s">
        <v>111</v>
      </c>
      <c r="H37" s="1" t="s">
        <v>192</v>
      </c>
      <c r="I37" s="1" t="s">
        <v>193</v>
      </c>
      <c r="J37" s="1">
        <v>96.164000000000001</v>
      </c>
      <c r="K37" s="1" t="s">
        <v>263</v>
      </c>
      <c r="L37" s="11"/>
    </row>
  </sheetData>
  <autoFilter ref="A1:K37" xr:uid="{B4F48170-5372-AD4C-8E50-8A63C078BF73}"/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D8561-7120-AB4C-9D18-7F57D6C09FFF}">
  <dimension ref="A1:D30"/>
  <sheetViews>
    <sheetView zoomScale="71" zoomScaleNormal="50" workbookViewId="0">
      <selection activeCell="H13" sqref="H13"/>
    </sheetView>
  </sheetViews>
  <sheetFormatPr baseColWidth="10" defaultRowHeight="20"/>
  <cols>
    <col min="1" max="1" width="26.7109375" bestFit="1" customWidth="1"/>
    <col min="2" max="2" width="20.28515625" style="1" bestFit="1" customWidth="1"/>
    <col min="3" max="3" width="16.140625" bestFit="1" customWidth="1"/>
    <col min="4" max="4" width="16.5703125" bestFit="1" customWidth="1"/>
  </cols>
  <sheetData>
    <row r="1" spans="1:4">
      <c r="A1" t="s">
        <v>107</v>
      </c>
      <c r="B1" s="1" t="s">
        <v>131</v>
      </c>
      <c r="C1" s="1" t="s">
        <v>269</v>
      </c>
    </row>
    <row r="2" spans="1:4">
      <c r="A2" s="6" t="s">
        <v>251</v>
      </c>
      <c r="B2" s="2" t="s">
        <v>146</v>
      </c>
      <c r="C2" s="44">
        <v>7.4939172749391728E-2</v>
      </c>
      <c r="D2" s="38"/>
    </row>
    <row r="3" spans="1:4">
      <c r="A3" s="6" t="s">
        <v>251</v>
      </c>
      <c r="B3" s="2" t="s">
        <v>219</v>
      </c>
      <c r="C3" s="44">
        <v>0.35377128953771286</v>
      </c>
    </row>
    <row r="4" spans="1:4">
      <c r="A4" s="6" t="s">
        <v>251</v>
      </c>
      <c r="B4" s="34" t="s">
        <v>157</v>
      </c>
      <c r="C4" s="45">
        <v>0.12311435523114356</v>
      </c>
      <c r="D4" s="38"/>
    </row>
    <row r="5" spans="1:4">
      <c r="A5" s="6" t="s">
        <v>251</v>
      </c>
      <c r="B5" s="34" t="s">
        <v>248</v>
      </c>
      <c r="C5" s="44">
        <v>7.0072992700729933E-2</v>
      </c>
    </row>
    <row r="6" spans="1:4">
      <c r="A6" s="6" t="s">
        <v>251</v>
      </c>
      <c r="B6" s="34" t="s">
        <v>177</v>
      </c>
      <c r="C6" s="44">
        <v>0.37810218978102195</v>
      </c>
    </row>
    <row r="7" spans="1:4">
      <c r="A7" t="s">
        <v>252</v>
      </c>
      <c r="B7" s="1" t="s">
        <v>219</v>
      </c>
      <c r="C7" s="44">
        <v>0.2695819317635752</v>
      </c>
    </row>
    <row r="8" spans="1:4">
      <c r="A8" t="s">
        <v>252</v>
      </c>
      <c r="B8" s="1" t="s">
        <v>235</v>
      </c>
      <c r="C8" s="44">
        <v>5.0456511292647763E-2</v>
      </c>
    </row>
    <row r="9" spans="1:4">
      <c r="A9" t="s">
        <v>252</v>
      </c>
      <c r="B9" s="1" t="s">
        <v>177</v>
      </c>
      <c r="C9" s="44">
        <v>0.48822681403171553</v>
      </c>
    </row>
    <row r="10" spans="1:4">
      <c r="A10" t="s">
        <v>252</v>
      </c>
      <c r="B10" s="1" t="s">
        <v>227</v>
      </c>
      <c r="C10" s="45">
        <v>0.1917347429120615</v>
      </c>
    </row>
    <row r="11" spans="1:4">
      <c r="A11" s="6" t="s">
        <v>253</v>
      </c>
      <c r="B11" s="2" t="s">
        <v>175</v>
      </c>
      <c r="C11" s="45">
        <v>0.10254123941150245</v>
      </c>
    </row>
    <row r="12" spans="1:4">
      <c r="A12" s="6" t="s">
        <v>253</v>
      </c>
      <c r="B12" s="2" t="s">
        <v>239</v>
      </c>
      <c r="C12" s="44">
        <v>0.21399910833704858</v>
      </c>
    </row>
    <row r="13" spans="1:4">
      <c r="A13" s="6" t="s">
        <v>253</v>
      </c>
      <c r="B13" s="2" t="s">
        <v>235</v>
      </c>
      <c r="C13" s="45">
        <v>5.4391440035666518E-2</v>
      </c>
    </row>
    <row r="14" spans="1:4">
      <c r="A14" s="6" t="s">
        <v>253</v>
      </c>
      <c r="B14" s="2" t="s">
        <v>157</v>
      </c>
      <c r="C14" s="45">
        <v>6.9549710209540788E-2</v>
      </c>
    </row>
    <row r="15" spans="1:4">
      <c r="A15" s="6" t="s">
        <v>253</v>
      </c>
      <c r="B15" s="2" t="s">
        <v>177</v>
      </c>
      <c r="C15" s="44">
        <v>0.23316986179224253</v>
      </c>
    </row>
    <row r="16" spans="1:4">
      <c r="A16" s="6" t="s">
        <v>253</v>
      </c>
      <c r="B16" s="2" t="s">
        <v>177</v>
      </c>
      <c r="C16" s="44">
        <v>6.5091395452518949E-2</v>
      </c>
    </row>
    <row r="17" spans="1:4">
      <c r="A17" s="6" t="s">
        <v>253</v>
      </c>
      <c r="B17" s="2" t="s">
        <v>231</v>
      </c>
      <c r="C17" s="44">
        <v>8.8720463664734725E-2</v>
      </c>
    </row>
    <row r="18" spans="1:4">
      <c r="A18" s="6" t="s">
        <v>253</v>
      </c>
      <c r="B18" s="2" t="s">
        <v>227</v>
      </c>
      <c r="C18" s="45">
        <v>0.17253678109674542</v>
      </c>
    </row>
    <row r="19" spans="1:4">
      <c r="A19" t="s">
        <v>254</v>
      </c>
      <c r="B19" s="1" t="s">
        <v>192</v>
      </c>
      <c r="C19" s="44">
        <v>0.30095603001715399</v>
      </c>
    </row>
    <row r="20" spans="1:4">
      <c r="A20" t="s">
        <v>254</v>
      </c>
      <c r="B20" s="1" t="s">
        <v>219</v>
      </c>
      <c r="C20" s="44">
        <v>0.24174707973590656</v>
      </c>
      <c r="D20" s="38"/>
    </row>
    <row r="21" spans="1:4">
      <c r="A21" t="s">
        <v>254</v>
      </c>
      <c r="B21" s="1" t="s">
        <v>157</v>
      </c>
      <c r="C21" s="45">
        <v>0.41362290227048371</v>
      </c>
    </row>
    <row r="22" spans="1:4">
      <c r="A22" s="6" t="s">
        <v>255</v>
      </c>
      <c r="B22" s="2" t="s">
        <v>192</v>
      </c>
      <c r="C22" s="45">
        <v>0.57180043383947932</v>
      </c>
    </row>
    <row r="23" spans="1:4">
      <c r="A23" s="6" t="s">
        <v>255</v>
      </c>
      <c r="B23" s="2" t="s">
        <v>219</v>
      </c>
      <c r="C23" s="45">
        <v>0.15010845986984817</v>
      </c>
    </row>
    <row r="24" spans="1:4">
      <c r="A24" s="6" t="s">
        <v>255</v>
      </c>
      <c r="B24" s="2" t="s">
        <v>157</v>
      </c>
      <c r="C24" s="45">
        <v>0.19436008676789587</v>
      </c>
    </row>
    <row r="25" spans="1:4">
      <c r="A25" s="6" t="s">
        <v>255</v>
      </c>
      <c r="B25" s="2" t="s">
        <v>222</v>
      </c>
      <c r="C25" s="44">
        <v>8.3731019522776576E-2</v>
      </c>
    </row>
    <row r="26" spans="1:4">
      <c r="A26" t="s">
        <v>256</v>
      </c>
      <c r="B26" s="1" t="s">
        <v>192</v>
      </c>
      <c r="C26" s="45">
        <v>0.24804585721730069</v>
      </c>
    </row>
    <row r="27" spans="1:4">
      <c r="A27" t="s">
        <v>256</v>
      </c>
      <c r="B27" s="1" t="s">
        <v>219</v>
      </c>
      <c r="C27" s="44">
        <v>6.0448150078165709E-2</v>
      </c>
      <c r="D27" s="38"/>
    </row>
    <row r="28" spans="1:4">
      <c r="A28" t="s">
        <v>256</v>
      </c>
      <c r="B28" s="1" t="s">
        <v>157</v>
      </c>
      <c r="C28" s="45">
        <v>0.37727983324648257</v>
      </c>
    </row>
    <row r="29" spans="1:4">
      <c r="A29" t="s">
        <v>256</v>
      </c>
      <c r="B29" s="1" t="s">
        <v>153</v>
      </c>
      <c r="C29" s="44">
        <v>0.16675351745700887</v>
      </c>
    </row>
    <row r="30" spans="1:4">
      <c r="A30" t="s">
        <v>256</v>
      </c>
      <c r="B30" s="1" t="s">
        <v>222</v>
      </c>
      <c r="C30" s="45">
        <v>0.14747264200104221</v>
      </c>
    </row>
  </sheetData>
  <autoFilter ref="A1:B30" xr:uid="{B4F48170-5372-AD4C-8E50-8A63C078BF73}">
    <sortState xmlns:xlrd2="http://schemas.microsoft.com/office/spreadsheetml/2017/richdata2" ref="A2:B30">
      <sortCondition ref="A1:A30"/>
    </sortState>
  </autoFilter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C2AAA-9904-2B40-9B7B-DC21ED7F3F36}">
  <dimension ref="A1:G37"/>
  <sheetViews>
    <sheetView workbookViewId="0">
      <selection activeCell="F11" sqref="F11"/>
    </sheetView>
  </sheetViews>
  <sheetFormatPr baseColWidth="10" defaultRowHeight="20"/>
  <cols>
    <col min="1" max="1" width="26.7109375" bestFit="1" customWidth="1"/>
    <col min="2" max="2" width="15" bestFit="1" customWidth="1"/>
    <col min="3" max="3" width="19.85546875" style="1" bestFit="1" customWidth="1"/>
    <col min="4" max="4" width="36.28515625" style="1" bestFit="1" customWidth="1"/>
    <col min="5" max="6" width="36.28515625" style="1" customWidth="1"/>
    <col min="7" max="7" width="19.140625" bestFit="1" customWidth="1"/>
  </cols>
  <sheetData>
    <row r="1" spans="1:7">
      <c r="A1" t="s">
        <v>107</v>
      </c>
      <c r="B1" t="s">
        <v>2</v>
      </c>
      <c r="C1" s="1" t="s">
        <v>269</v>
      </c>
      <c r="D1" s="1" t="s">
        <v>99</v>
      </c>
      <c r="E1" s="1" t="s">
        <v>280</v>
      </c>
      <c r="F1" s="1" t="s">
        <v>279</v>
      </c>
    </row>
    <row r="2" spans="1:7">
      <c r="A2" s="6" t="s">
        <v>251</v>
      </c>
      <c r="B2" s="6">
        <v>253</v>
      </c>
      <c r="C2" s="8">
        <v>0.12311435523114356</v>
      </c>
      <c r="D2" s="2" t="s">
        <v>28</v>
      </c>
      <c r="E2" s="1" t="s">
        <v>281</v>
      </c>
      <c r="F2" s="2" t="s">
        <v>288</v>
      </c>
      <c r="G2" s="40">
        <f>C2+C3+C4+C5+C6</f>
        <v>0.57615571776155716</v>
      </c>
    </row>
    <row r="3" spans="1:7">
      <c r="A3" s="6" t="s">
        <v>251</v>
      </c>
      <c r="B3" s="6">
        <v>314</v>
      </c>
      <c r="C3" s="8">
        <v>0.15279805352798054</v>
      </c>
      <c r="D3" s="2" t="s">
        <v>97</v>
      </c>
      <c r="E3" s="1" t="s">
        <v>281</v>
      </c>
      <c r="F3" s="1" t="s">
        <v>282</v>
      </c>
    </row>
    <row r="4" spans="1:7">
      <c r="A4" s="6" t="s">
        <v>251</v>
      </c>
      <c r="B4" s="6">
        <v>154</v>
      </c>
      <c r="C4" s="8">
        <v>7.4939172749391728E-2</v>
      </c>
      <c r="D4" s="2" t="s">
        <v>246</v>
      </c>
      <c r="E4" s="1" t="s">
        <v>281</v>
      </c>
      <c r="F4" s="2" t="s">
        <v>282</v>
      </c>
    </row>
    <row r="5" spans="1:7">
      <c r="A5" s="6" t="s">
        <v>251</v>
      </c>
      <c r="B5" s="6">
        <v>288</v>
      </c>
      <c r="C5" s="8">
        <v>0.14014598540145987</v>
      </c>
      <c r="D5" s="2" t="s">
        <v>244</v>
      </c>
      <c r="E5" s="1" t="s">
        <v>281</v>
      </c>
      <c r="F5" s="2" t="s">
        <v>282</v>
      </c>
    </row>
    <row r="6" spans="1:7">
      <c r="A6" s="6" t="s">
        <v>251</v>
      </c>
      <c r="B6" s="6">
        <v>175</v>
      </c>
      <c r="C6" s="8">
        <v>8.5158150851581502E-2</v>
      </c>
      <c r="D6" s="2" t="s">
        <v>88</v>
      </c>
      <c r="E6" s="1" t="s">
        <v>281</v>
      </c>
      <c r="F6" s="2" t="s">
        <v>282</v>
      </c>
    </row>
    <row r="7" spans="1:7">
      <c r="A7" s="6" t="s">
        <v>251</v>
      </c>
      <c r="B7" s="6">
        <v>580</v>
      </c>
      <c r="C7" s="8">
        <v>0.28223844282238442</v>
      </c>
      <c r="D7" s="2" t="s">
        <v>104</v>
      </c>
      <c r="E7" s="1" t="s">
        <v>290</v>
      </c>
      <c r="F7" s="1" t="s">
        <v>291</v>
      </c>
      <c r="G7" s="11">
        <f>C7+C8</f>
        <v>0.35377128953771286</v>
      </c>
    </row>
    <row r="8" spans="1:7">
      <c r="A8" s="6" t="s">
        <v>251</v>
      </c>
      <c r="B8" s="6">
        <v>147</v>
      </c>
      <c r="C8" s="8">
        <v>7.153284671532846E-2</v>
      </c>
      <c r="D8" s="2" t="s">
        <v>243</v>
      </c>
      <c r="E8" s="1" t="s">
        <v>290</v>
      </c>
      <c r="F8" s="1" t="s">
        <v>291</v>
      </c>
    </row>
    <row r="9" spans="1:7">
      <c r="A9" s="6" t="s">
        <v>251</v>
      </c>
      <c r="B9" s="6">
        <v>144</v>
      </c>
      <c r="C9" s="8">
        <v>7.0072992700729933E-2</v>
      </c>
      <c r="D9" s="2" t="s">
        <v>249</v>
      </c>
      <c r="E9" s="1" t="s">
        <v>284</v>
      </c>
      <c r="F9" s="1" t="s">
        <v>285</v>
      </c>
      <c r="G9" s="11">
        <f>C9</f>
        <v>7.0072992700729933E-2</v>
      </c>
    </row>
    <row r="10" spans="1:7">
      <c r="A10" t="s">
        <v>252</v>
      </c>
      <c r="B10">
        <v>497</v>
      </c>
      <c r="C10" s="7">
        <v>0.23882748678519941</v>
      </c>
      <c r="D10" s="1" t="s">
        <v>97</v>
      </c>
      <c r="E10" s="1" t="s">
        <v>281</v>
      </c>
      <c r="F10" s="2" t="s">
        <v>282</v>
      </c>
      <c r="G10" s="40">
        <f>C10+C11</f>
        <v>0.48822681403171553</v>
      </c>
    </row>
    <row r="11" spans="1:7">
      <c r="A11" t="s">
        <v>252</v>
      </c>
      <c r="B11">
        <v>519</v>
      </c>
      <c r="C11" s="7">
        <v>0.24939932724651609</v>
      </c>
      <c r="D11" s="1" t="s">
        <v>18</v>
      </c>
      <c r="E11" s="1" t="s">
        <v>281</v>
      </c>
      <c r="F11" s="2" t="s">
        <v>282</v>
      </c>
    </row>
    <row r="12" spans="1:7">
      <c r="A12" t="s">
        <v>252</v>
      </c>
      <c r="B12">
        <v>399</v>
      </c>
      <c r="C12" s="7">
        <v>0.1917347429120615</v>
      </c>
      <c r="D12" s="1" t="s">
        <v>241</v>
      </c>
      <c r="E12" s="1" t="s">
        <v>284</v>
      </c>
      <c r="F12" s="1" t="s">
        <v>292</v>
      </c>
      <c r="G12" s="11">
        <f>C12</f>
        <v>0.1917347429120615</v>
      </c>
    </row>
    <row r="13" spans="1:7">
      <c r="A13" t="s">
        <v>252</v>
      </c>
      <c r="B13">
        <v>561</v>
      </c>
      <c r="C13" s="7">
        <v>0.2695819317635752</v>
      </c>
      <c r="D13" s="1" t="s">
        <v>104</v>
      </c>
      <c r="E13" s="1" t="s">
        <v>290</v>
      </c>
      <c r="F13" s="1" t="s">
        <v>291</v>
      </c>
      <c r="G13" s="11">
        <f>C13</f>
        <v>0.2695819317635752</v>
      </c>
    </row>
    <row r="14" spans="1:7">
      <c r="A14" t="s">
        <v>252</v>
      </c>
      <c r="B14">
        <v>105</v>
      </c>
      <c r="C14" s="7">
        <v>5.0456511292647763E-2</v>
      </c>
      <c r="D14" s="1" t="s">
        <v>237</v>
      </c>
      <c r="E14" s="1" t="s">
        <v>293</v>
      </c>
      <c r="F14" s="1" t="s">
        <v>294</v>
      </c>
      <c r="G14" s="11">
        <f>C14</f>
        <v>5.0456511292647763E-2</v>
      </c>
    </row>
    <row r="15" spans="1:7">
      <c r="A15" s="6" t="s">
        <v>253</v>
      </c>
      <c r="B15" s="6">
        <v>156</v>
      </c>
      <c r="C15" s="8">
        <v>6.9549710209540788E-2</v>
      </c>
      <c r="D15" s="2" t="s">
        <v>225</v>
      </c>
      <c r="E15" s="1" t="s">
        <v>281</v>
      </c>
      <c r="F15" s="2" t="s">
        <v>288</v>
      </c>
      <c r="G15" s="40">
        <f>C15+C16+C17+C18</f>
        <v>0.54034774855104772</v>
      </c>
    </row>
    <row r="16" spans="1:7">
      <c r="A16" s="6" t="s">
        <v>253</v>
      </c>
      <c r="B16" s="6">
        <v>523</v>
      </c>
      <c r="C16" s="8">
        <v>0.23316986179224253</v>
      </c>
      <c r="D16" s="2" t="s">
        <v>97</v>
      </c>
      <c r="E16" s="1" t="s">
        <v>281</v>
      </c>
      <c r="F16" s="1" t="s">
        <v>282</v>
      </c>
    </row>
    <row r="17" spans="1:7">
      <c r="A17" s="6" t="s">
        <v>253</v>
      </c>
      <c r="B17" s="6">
        <v>146</v>
      </c>
      <c r="C17" s="8">
        <v>6.5091395452518949E-2</v>
      </c>
      <c r="D17" s="2" t="s">
        <v>88</v>
      </c>
      <c r="E17" s="1" t="s">
        <v>281</v>
      </c>
      <c r="F17" s="2" t="s">
        <v>282</v>
      </c>
    </row>
    <row r="18" spans="1:7">
      <c r="A18" s="6" t="s">
        <v>253</v>
      </c>
      <c r="B18" s="6">
        <v>387</v>
      </c>
      <c r="C18" s="8">
        <v>0.17253678109674542</v>
      </c>
      <c r="D18" s="2" t="s">
        <v>18</v>
      </c>
      <c r="E18" s="1" t="s">
        <v>281</v>
      </c>
      <c r="F18" s="1" t="s">
        <v>282</v>
      </c>
    </row>
    <row r="19" spans="1:7">
      <c r="A19" s="6" t="s">
        <v>253</v>
      </c>
      <c r="B19" s="6">
        <v>199</v>
      </c>
      <c r="C19" s="8">
        <v>8.8720463664734725E-2</v>
      </c>
      <c r="D19" s="2" t="s">
        <v>95</v>
      </c>
      <c r="E19" s="1" t="s">
        <v>284</v>
      </c>
      <c r="F19" s="1" t="s">
        <v>292</v>
      </c>
      <c r="G19" s="11">
        <f>C19</f>
        <v>8.8720463664734725E-2</v>
      </c>
    </row>
    <row r="20" spans="1:7">
      <c r="A20" s="6" t="s">
        <v>253</v>
      </c>
      <c r="B20" s="6">
        <v>122</v>
      </c>
      <c r="C20" s="8">
        <v>5.4391440035666518E-2</v>
      </c>
      <c r="D20" s="2" t="s">
        <v>240</v>
      </c>
      <c r="E20" s="1" t="s">
        <v>290</v>
      </c>
      <c r="F20" s="1" t="s">
        <v>291</v>
      </c>
      <c r="G20" s="40">
        <f>C20+C21</f>
        <v>0.21399910833704858</v>
      </c>
    </row>
    <row r="21" spans="1:7">
      <c r="A21" s="6" t="s">
        <v>253</v>
      </c>
      <c r="B21" s="6">
        <v>358</v>
      </c>
      <c r="C21" s="8">
        <v>0.15960766830138207</v>
      </c>
      <c r="D21" s="2" t="s">
        <v>26</v>
      </c>
      <c r="E21" s="1" t="s">
        <v>290</v>
      </c>
      <c r="F21" s="1" t="s">
        <v>291</v>
      </c>
    </row>
    <row r="22" spans="1:7">
      <c r="A22" s="6" t="s">
        <v>253</v>
      </c>
      <c r="B22" s="6">
        <v>122</v>
      </c>
      <c r="C22" s="8">
        <v>5.4391440035666518E-2</v>
      </c>
      <c r="D22" s="2" t="s">
        <v>237</v>
      </c>
      <c r="E22" s="1" t="s">
        <v>294</v>
      </c>
      <c r="F22" s="1" t="s">
        <v>236</v>
      </c>
      <c r="G22" s="11">
        <f>C22</f>
        <v>5.4391440035666518E-2</v>
      </c>
    </row>
    <row r="23" spans="1:7">
      <c r="A23" s="6" t="s">
        <v>253</v>
      </c>
      <c r="B23" s="6">
        <v>230</v>
      </c>
      <c r="C23" s="8">
        <v>0.10254123941150245</v>
      </c>
      <c r="D23" s="2" t="s">
        <v>233</v>
      </c>
      <c r="E23" s="1" t="s">
        <v>284</v>
      </c>
      <c r="F23" s="1" t="s">
        <v>285</v>
      </c>
      <c r="G23" s="11">
        <f>C23</f>
        <v>0.10254123941150245</v>
      </c>
    </row>
    <row r="24" spans="1:7">
      <c r="A24" t="s">
        <v>254</v>
      </c>
      <c r="B24">
        <v>108</v>
      </c>
      <c r="C24" s="7">
        <v>6.4056939501779361E-2</v>
      </c>
      <c r="D24" s="1" t="s">
        <v>268</v>
      </c>
      <c r="E24" s="1" t="s">
        <v>295</v>
      </c>
      <c r="F24" s="1" t="s">
        <v>296</v>
      </c>
      <c r="G24" s="40">
        <f>C24+C25</f>
        <v>0.30095603001715399</v>
      </c>
    </row>
    <row r="25" spans="1:7">
      <c r="A25" t="s">
        <v>254</v>
      </c>
      <c r="B25">
        <v>547</v>
      </c>
      <c r="C25" s="7">
        <v>0.23689909051537461</v>
      </c>
      <c r="D25" s="1" t="s">
        <v>190</v>
      </c>
      <c r="E25" s="1" t="s">
        <v>299</v>
      </c>
      <c r="F25" s="1" t="s">
        <v>296</v>
      </c>
    </row>
    <row r="26" spans="1:7">
      <c r="A26" t="s">
        <v>254</v>
      </c>
      <c r="B26">
        <v>838</v>
      </c>
      <c r="C26" s="7">
        <v>0.41362290227048371</v>
      </c>
      <c r="D26" s="1" t="s">
        <v>225</v>
      </c>
      <c r="E26" s="1" t="s">
        <v>281</v>
      </c>
      <c r="F26" s="2" t="s">
        <v>288</v>
      </c>
      <c r="G26" s="11">
        <f>C26</f>
        <v>0.41362290227048371</v>
      </c>
    </row>
    <row r="27" spans="1:7">
      <c r="A27" t="s">
        <v>254</v>
      </c>
      <c r="B27">
        <v>476</v>
      </c>
      <c r="C27" s="7">
        <v>0.24174707973590656</v>
      </c>
      <c r="D27" s="1" t="s">
        <v>26</v>
      </c>
      <c r="E27" s="1" t="s">
        <v>290</v>
      </c>
      <c r="F27" s="1" t="s">
        <v>291</v>
      </c>
      <c r="G27" s="11">
        <f>C27</f>
        <v>0.24174707973590656</v>
      </c>
    </row>
    <row r="28" spans="1:7">
      <c r="A28" s="6" t="s">
        <v>255</v>
      </c>
      <c r="B28" s="6">
        <v>1121</v>
      </c>
      <c r="C28" s="8">
        <v>0.4863340563991323</v>
      </c>
      <c r="D28" s="2" t="s">
        <v>190</v>
      </c>
      <c r="E28" s="1" t="s">
        <v>295</v>
      </c>
      <c r="F28" s="1" t="s">
        <v>296</v>
      </c>
      <c r="G28" s="40">
        <f>C28+C29</f>
        <v>0.57180043383947932</v>
      </c>
    </row>
    <row r="29" spans="1:7">
      <c r="A29" s="6" t="s">
        <v>255</v>
      </c>
      <c r="B29" s="6">
        <v>197</v>
      </c>
      <c r="C29" s="8">
        <v>8.5466377440347074E-2</v>
      </c>
      <c r="D29" s="2" t="s">
        <v>268</v>
      </c>
      <c r="E29" s="1" t="s">
        <v>295</v>
      </c>
      <c r="F29" s="1" t="s">
        <v>296</v>
      </c>
    </row>
    <row r="30" spans="1:7">
      <c r="A30" s="6" t="s">
        <v>255</v>
      </c>
      <c r="B30" s="6">
        <v>448</v>
      </c>
      <c r="C30" s="8">
        <v>0.19436008676789587</v>
      </c>
      <c r="D30" s="2" t="s">
        <v>28</v>
      </c>
      <c r="E30" s="1" t="s">
        <v>281</v>
      </c>
      <c r="F30" s="2" t="s">
        <v>288</v>
      </c>
      <c r="G30" s="11">
        <f>C30</f>
        <v>0.19436008676789587</v>
      </c>
    </row>
    <row r="31" spans="1:7">
      <c r="A31" s="6" t="s">
        <v>255</v>
      </c>
      <c r="B31" s="6">
        <v>346</v>
      </c>
      <c r="C31" s="8">
        <v>0.15010845986984817</v>
      </c>
      <c r="D31" s="2" t="s">
        <v>26</v>
      </c>
      <c r="E31" s="1" t="s">
        <v>290</v>
      </c>
      <c r="F31" s="1" t="s">
        <v>291</v>
      </c>
      <c r="G31" s="11">
        <f>C31</f>
        <v>0.15010845986984817</v>
      </c>
    </row>
    <row r="32" spans="1:7">
      <c r="A32" s="6" t="s">
        <v>255</v>
      </c>
      <c r="B32" s="6">
        <v>193</v>
      </c>
      <c r="C32" s="8">
        <v>8.3731019522776576E-2</v>
      </c>
      <c r="D32" s="2" t="s">
        <v>224</v>
      </c>
      <c r="E32" s="1" t="s">
        <v>297</v>
      </c>
      <c r="F32" s="1" t="s">
        <v>298</v>
      </c>
      <c r="G32" s="11">
        <f>C32</f>
        <v>8.3731019522776576E-2</v>
      </c>
    </row>
    <row r="33" spans="1:7">
      <c r="A33" t="s">
        <v>256</v>
      </c>
      <c r="B33">
        <v>476</v>
      </c>
      <c r="C33" s="7">
        <v>0.24804585721730069</v>
      </c>
      <c r="D33" s="1" t="s">
        <v>190</v>
      </c>
      <c r="E33" s="1" t="s">
        <v>295</v>
      </c>
      <c r="F33" s="1" t="s">
        <v>296</v>
      </c>
      <c r="G33" s="11">
        <f>C33</f>
        <v>0.24804585721730069</v>
      </c>
    </row>
    <row r="34" spans="1:7">
      <c r="A34" t="s">
        <v>256</v>
      </c>
      <c r="B34">
        <v>724</v>
      </c>
      <c r="C34" s="7">
        <v>0.37727983324648257</v>
      </c>
      <c r="D34" s="1" t="s">
        <v>28</v>
      </c>
      <c r="E34" s="1" t="s">
        <v>281</v>
      </c>
      <c r="F34" s="2" t="s">
        <v>288</v>
      </c>
      <c r="G34" s="11">
        <f>C34</f>
        <v>0.37727983324648257</v>
      </c>
    </row>
    <row r="35" spans="1:7">
      <c r="A35" t="s">
        <v>256</v>
      </c>
      <c r="B35">
        <v>320</v>
      </c>
      <c r="C35" s="7">
        <v>0.16675351745700887</v>
      </c>
      <c r="D35" s="1" t="s">
        <v>184</v>
      </c>
      <c r="E35" s="1" t="s">
        <v>284</v>
      </c>
      <c r="F35" s="1" t="s">
        <v>292</v>
      </c>
      <c r="G35" s="11">
        <f t="shared" ref="G35:G37" si="0">C35</f>
        <v>0.16675351745700887</v>
      </c>
    </row>
    <row r="36" spans="1:7">
      <c r="A36" t="s">
        <v>256</v>
      </c>
      <c r="B36">
        <v>116</v>
      </c>
      <c r="C36" s="7">
        <v>6.0448150078165709E-2</v>
      </c>
      <c r="D36" s="1" t="s">
        <v>26</v>
      </c>
      <c r="E36" s="1" t="s">
        <v>290</v>
      </c>
      <c r="F36" s="1" t="s">
        <v>291</v>
      </c>
      <c r="G36" s="11">
        <f t="shared" si="0"/>
        <v>6.0448150078165709E-2</v>
      </c>
    </row>
    <row r="37" spans="1:7">
      <c r="A37" t="s">
        <v>256</v>
      </c>
      <c r="B37">
        <v>283</v>
      </c>
      <c r="C37" s="7">
        <v>0.14747264200104221</v>
      </c>
      <c r="D37" s="1" t="s">
        <v>224</v>
      </c>
      <c r="E37" s="1" t="s">
        <v>297</v>
      </c>
      <c r="F37" s="1" t="s">
        <v>298</v>
      </c>
      <c r="G37" s="11">
        <f t="shared" si="0"/>
        <v>0.14747264200104221</v>
      </c>
    </row>
  </sheetData>
  <autoFilter ref="A1:F37" xr:uid="{29AC2AAA-9904-2B40-9B7B-DC21ED7F3F36}">
    <sortState xmlns:xlrd2="http://schemas.microsoft.com/office/spreadsheetml/2017/richdata2" ref="A2:F37">
      <sortCondition ref="A1:A37"/>
    </sortState>
  </autoFilter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B650E-629F-2141-943E-305B4D2D955C}">
  <dimension ref="A1:C25"/>
  <sheetViews>
    <sheetView workbookViewId="0">
      <selection activeCell="E22" sqref="E22"/>
    </sheetView>
  </sheetViews>
  <sheetFormatPr baseColWidth="10" defaultRowHeight="20"/>
  <cols>
    <col min="1" max="1" width="26.7109375" bestFit="1" customWidth="1"/>
    <col min="2" max="2" width="36.28515625" style="1" customWidth="1"/>
    <col min="3" max="3" width="17.7109375" bestFit="1" customWidth="1"/>
  </cols>
  <sheetData>
    <row r="1" spans="1:3">
      <c r="A1" t="s">
        <v>107</v>
      </c>
      <c r="B1" s="1" t="s">
        <v>279</v>
      </c>
      <c r="C1" s="1" t="s">
        <v>269</v>
      </c>
    </row>
    <row r="2" spans="1:3">
      <c r="A2" s="6" t="s">
        <v>251</v>
      </c>
      <c r="B2" s="2" t="s">
        <v>288</v>
      </c>
      <c r="C2" s="11">
        <v>0.57615571776155716</v>
      </c>
    </row>
    <row r="3" spans="1:3">
      <c r="A3" s="6" t="s">
        <v>251</v>
      </c>
      <c r="B3" s="1" t="s">
        <v>291</v>
      </c>
      <c r="C3" s="11">
        <v>0.35377128953771286</v>
      </c>
    </row>
    <row r="4" spans="1:3">
      <c r="A4" s="6" t="s">
        <v>251</v>
      </c>
      <c r="B4" s="1" t="s">
        <v>285</v>
      </c>
      <c r="C4" s="11">
        <v>7.0072992700729933E-2</v>
      </c>
    </row>
    <row r="5" spans="1:3">
      <c r="A5" t="s">
        <v>252</v>
      </c>
      <c r="B5" s="2" t="s">
        <v>282</v>
      </c>
      <c r="C5" s="11">
        <v>0.48822681403171553</v>
      </c>
    </row>
    <row r="6" spans="1:3">
      <c r="A6" t="s">
        <v>252</v>
      </c>
      <c r="B6" s="1" t="s">
        <v>292</v>
      </c>
      <c r="C6" s="11">
        <v>0.1917347429120615</v>
      </c>
    </row>
    <row r="7" spans="1:3">
      <c r="A7" t="s">
        <v>252</v>
      </c>
      <c r="B7" s="1" t="s">
        <v>291</v>
      </c>
      <c r="C7" s="11">
        <v>0.2695819317635752</v>
      </c>
    </row>
    <row r="8" spans="1:3">
      <c r="A8" t="s">
        <v>252</v>
      </c>
      <c r="B8" s="1" t="s">
        <v>294</v>
      </c>
      <c r="C8" s="11">
        <v>5.0456511292647763E-2</v>
      </c>
    </row>
    <row r="9" spans="1:3">
      <c r="A9" s="6" t="s">
        <v>253</v>
      </c>
      <c r="B9" s="2" t="s">
        <v>288</v>
      </c>
      <c r="C9" s="11">
        <v>0.54034774855104772</v>
      </c>
    </row>
    <row r="10" spans="1:3">
      <c r="A10" s="6" t="s">
        <v>253</v>
      </c>
      <c r="B10" s="1" t="s">
        <v>292</v>
      </c>
      <c r="C10" s="11">
        <v>8.8720463664734725E-2</v>
      </c>
    </row>
    <row r="11" spans="1:3">
      <c r="A11" s="6" t="s">
        <v>253</v>
      </c>
      <c r="B11" s="1" t="s">
        <v>291</v>
      </c>
      <c r="C11" s="11">
        <v>0.21399910833704858</v>
      </c>
    </row>
    <row r="12" spans="1:3">
      <c r="A12" s="6" t="s">
        <v>253</v>
      </c>
      <c r="B12" s="1" t="s">
        <v>236</v>
      </c>
      <c r="C12" s="11">
        <v>5.4391440035666518E-2</v>
      </c>
    </row>
    <row r="13" spans="1:3">
      <c r="A13" s="6" t="s">
        <v>253</v>
      </c>
      <c r="B13" s="1" t="s">
        <v>285</v>
      </c>
      <c r="C13" s="11">
        <v>0.10254123941150245</v>
      </c>
    </row>
    <row r="14" spans="1:3">
      <c r="A14" t="s">
        <v>254</v>
      </c>
      <c r="B14" s="1" t="s">
        <v>296</v>
      </c>
      <c r="C14" s="11">
        <v>0.30095603001715399</v>
      </c>
    </row>
    <row r="15" spans="1:3">
      <c r="A15" t="s">
        <v>254</v>
      </c>
      <c r="B15" s="2" t="s">
        <v>288</v>
      </c>
      <c r="C15" s="11">
        <v>0.41362290227048371</v>
      </c>
    </row>
    <row r="16" spans="1:3">
      <c r="A16" t="s">
        <v>254</v>
      </c>
      <c r="B16" s="1" t="s">
        <v>291</v>
      </c>
      <c r="C16" s="11">
        <v>0.24174707973590656</v>
      </c>
    </row>
    <row r="17" spans="1:3">
      <c r="A17" s="6" t="s">
        <v>255</v>
      </c>
      <c r="B17" s="1" t="s">
        <v>296</v>
      </c>
      <c r="C17" s="11">
        <v>0.57180043383947932</v>
      </c>
    </row>
    <row r="18" spans="1:3">
      <c r="A18" s="6" t="s">
        <v>255</v>
      </c>
      <c r="B18" s="2" t="s">
        <v>288</v>
      </c>
      <c r="C18" s="11">
        <v>0.19436008676789587</v>
      </c>
    </row>
    <row r="19" spans="1:3">
      <c r="A19" s="6" t="s">
        <v>255</v>
      </c>
      <c r="B19" s="1" t="s">
        <v>291</v>
      </c>
      <c r="C19" s="11">
        <v>0.15010845986984817</v>
      </c>
    </row>
    <row r="20" spans="1:3">
      <c r="A20" s="6" t="s">
        <v>255</v>
      </c>
      <c r="B20" s="1" t="s">
        <v>298</v>
      </c>
      <c r="C20" s="11">
        <v>8.3731019522776576E-2</v>
      </c>
    </row>
    <row r="21" spans="1:3">
      <c r="A21" t="s">
        <v>256</v>
      </c>
      <c r="B21" s="1" t="s">
        <v>296</v>
      </c>
      <c r="C21" s="11">
        <v>0.24804585721730069</v>
      </c>
    </row>
    <row r="22" spans="1:3">
      <c r="A22" t="s">
        <v>256</v>
      </c>
      <c r="B22" s="2" t="s">
        <v>288</v>
      </c>
      <c r="C22" s="11">
        <v>0.37727983324648257</v>
      </c>
    </row>
    <row r="23" spans="1:3">
      <c r="A23" t="s">
        <v>256</v>
      </c>
      <c r="B23" s="1" t="s">
        <v>292</v>
      </c>
      <c r="C23" s="11">
        <v>0.16675351745700887</v>
      </c>
    </row>
    <row r="24" spans="1:3">
      <c r="A24" t="s">
        <v>256</v>
      </c>
      <c r="B24" s="1" t="s">
        <v>291</v>
      </c>
      <c r="C24" s="11">
        <v>6.0448150078165709E-2</v>
      </c>
    </row>
    <row r="25" spans="1:3">
      <c r="A25" t="s">
        <v>256</v>
      </c>
      <c r="B25" s="1" t="s">
        <v>298</v>
      </c>
      <c r="C25" s="11">
        <v>0.14747264200104221</v>
      </c>
    </row>
  </sheetData>
  <autoFilter ref="A1:B25" xr:uid="{29AC2AAA-9904-2B40-9B7B-DC21ED7F3F36}">
    <sortState xmlns:xlrd2="http://schemas.microsoft.com/office/spreadsheetml/2017/richdata2" ref="A2:B25">
      <sortCondition ref="A1:A25"/>
    </sortState>
  </autoFilter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558D0-CC3A-D74A-84A0-93EAADB43174}">
  <dimension ref="A1:C24"/>
  <sheetViews>
    <sheetView workbookViewId="0">
      <selection activeCell="G8" sqref="G8"/>
    </sheetView>
  </sheetViews>
  <sheetFormatPr baseColWidth="10" defaultRowHeight="20"/>
  <cols>
    <col min="1" max="1" width="26.7109375" bestFit="1" customWidth="1"/>
    <col min="2" max="2" width="36.28515625" style="1" customWidth="1"/>
  </cols>
  <sheetData>
    <row r="1" spans="1:3">
      <c r="A1" t="s">
        <v>107</v>
      </c>
      <c r="B1" s="1" t="s">
        <v>280</v>
      </c>
      <c r="C1" s="1" t="s">
        <v>269</v>
      </c>
    </row>
    <row r="2" spans="1:3" s="6" customFormat="1">
      <c r="A2" s="6" t="s">
        <v>251</v>
      </c>
      <c r="B2" s="2" t="s">
        <v>281</v>
      </c>
      <c r="C2" s="12">
        <v>0.57615571776155716</v>
      </c>
    </row>
    <row r="3" spans="1:3" s="6" customFormat="1">
      <c r="A3" s="6" t="s">
        <v>251</v>
      </c>
      <c r="B3" s="2" t="s">
        <v>290</v>
      </c>
      <c r="C3" s="12">
        <v>0.35377128953771286</v>
      </c>
    </row>
    <row r="4" spans="1:3" s="6" customFormat="1">
      <c r="A4" s="6" t="s">
        <v>251</v>
      </c>
      <c r="B4" s="2" t="s">
        <v>284</v>
      </c>
      <c r="C4" s="12">
        <v>7.0072992700729933E-2</v>
      </c>
    </row>
    <row r="5" spans="1:3">
      <c r="A5" t="s">
        <v>252</v>
      </c>
      <c r="B5" s="1" t="s">
        <v>281</v>
      </c>
      <c r="C5" s="11">
        <v>0.48822681403171553</v>
      </c>
    </row>
    <row r="6" spans="1:3">
      <c r="A6" t="s">
        <v>252</v>
      </c>
      <c r="B6" s="1" t="s">
        <v>293</v>
      </c>
      <c r="C6" s="11">
        <v>0.1917347429120615</v>
      </c>
    </row>
    <row r="7" spans="1:3">
      <c r="A7" t="s">
        <v>252</v>
      </c>
      <c r="B7" s="1" t="s">
        <v>290</v>
      </c>
      <c r="C7" s="11">
        <v>0.2695819317635752</v>
      </c>
    </row>
    <row r="8" spans="1:3">
      <c r="A8" t="s">
        <v>252</v>
      </c>
      <c r="B8" s="1" t="s">
        <v>284</v>
      </c>
      <c r="C8" s="11">
        <v>5.0456511292647763E-2</v>
      </c>
    </row>
    <row r="9" spans="1:3">
      <c r="A9" s="6" t="s">
        <v>253</v>
      </c>
      <c r="B9" s="1" t="s">
        <v>281</v>
      </c>
      <c r="C9" s="11">
        <v>0.54034774855104772</v>
      </c>
    </row>
    <row r="10" spans="1:3">
      <c r="A10" s="6" t="s">
        <v>253</v>
      </c>
      <c r="B10" s="1" t="s">
        <v>294</v>
      </c>
      <c r="C10" s="11">
        <v>8.8720463664734725E-2</v>
      </c>
    </row>
    <row r="11" spans="1:3">
      <c r="A11" s="6" t="s">
        <v>253</v>
      </c>
      <c r="B11" s="1" t="s">
        <v>290</v>
      </c>
      <c r="C11" s="11">
        <v>0.21399910833704858</v>
      </c>
    </row>
    <row r="12" spans="1:3">
      <c r="A12" s="6" t="s">
        <v>253</v>
      </c>
      <c r="B12" s="1" t="s">
        <v>284</v>
      </c>
      <c r="C12" s="11">
        <v>0.15693267944716896</v>
      </c>
    </row>
    <row r="13" spans="1:3">
      <c r="A13" t="s">
        <v>254</v>
      </c>
      <c r="B13" s="1" t="s">
        <v>281</v>
      </c>
      <c r="C13" s="11">
        <v>0.30095603001715399</v>
      </c>
    </row>
    <row r="14" spans="1:3">
      <c r="A14" t="s">
        <v>254</v>
      </c>
      <c r="B14" s="1" t="s">
        <v>290</v>
      </c>
      <c r="C14" s="11">
        <v>0.41362290227048371</v>
      </c>
    </row>
    <row r="15" spans="1:3">
      <c r="A15" t="s">
        <v>254</v>
      </c>
      <c r="B15" s="1" t="s">
        <v>295</v>
      </c>
      <c r="C15" s="11">
        <v>0.24174707973590656</v>
      </c>
    </row>
    <row r="16" spans="1:3">
      <c r="A16" s="6" t="s">
        <v>255</v>
      </c>
      <c r="B16" s="1" t="s">
        <v>281</v>
      </c>
      <c r="C16" s="11">
        <v>0.57180043383947932</v>
      </c>
    </row>
    <row r="17" spans="1:3">
      <c r="A17" s="6" t="s">
        <v>255</v>
      </c>
      <c r="B17" s="1" t="s">
        <v>297</v>
      </c>
      <c r="C17" s="11">
        <v>0.19436008676789587</v>
      </c>
    </row>
    <row r="18" spans="1:3">
      <c r="A18" s="6" t="s">
        <v>255</v>
      </c>
      <c r="B18" s="1" t="s">
        <v>290</v>
      </c>
      <c r="C18" s="11">
        <v>0.15010845986984817</v>
      </c>
    </row>
    <row r="19" spans="1:3">
      <c r="A19" s="6" t="s">
        <v>255</v>
      </c>
      <c r="B19" s="1" t="s">
        <v>295</v>
      </c>
      <c r="C19" s="11">
        <v>8.3731019522776576E-2</v>
      </c>
    </row>
    <row r="20" spans="1:3">
      <c r="A20" t="s">
        <v>256</v>
      </c>
      <c r="B20" s="1" t="s">
        <v>281</v>
      </c>
      <c r="C20" s="11">
        <v>0.24804585721730069</v>
      </c>
    </row>
    <row r="21" spans="1:3">
      <c r="A21" t="s">
        <v>256</v>
      </c>
      <c r="B21" s="1" t="s">
        <v>297</v>
      </c>
      <c r="C21" s="11">
        <v>0.37727983324648257</v>
      </c>
    </row>
    <row r="22" spans="1:3">
      <c r="A22" t="s">
        <v>256</v>
      </c>
      <c r="B22" s="1" t="s">
        <v>290</v>
      </c>
      <c r="C22" s="11">
        <v>0.16675351745700887</v>
      </c>
    </row>
    <row r="23" spans="1:3">
      <c r="A23" t="s">
        <v>256</v>
      </c>
      <c r="B23" s="1" t="s">
        <v>295</v>
      </c>
      <c r="C23" s="11">
        <v>6.0448150078165709E-2</v>
      </c>
    </row>
    <row r="24" spans="1:3">
      <c r="A24" t="s">
        <v>256</v>
      </c>
      <c r="B24" s="1" t="s">
        <v>284</v>
      </c>
      <c r="C24" s="11">
        <v>0.14747264200104221</v>
      </c>
    </row>
  </sheetData>
  <autoFilter ref="A1:B24" xr:uid="{29AC2AAA-9904-2B40-9B7B-DC21ED7F3F36}">
    <sortState xmlns:xlrd2="http://schemas.microsoft.com/office/spreadsheetml/2017/richdata2" ref="A2:B24">
      <sortCondition ref="A1:A24"/>
    </sortState>
  </autoFilter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47</vt:i4>
      </vt:variant>
    </vt:vector>
  </HeadingPairs>
  <TitlesOfParts>
    <vt:vector size="59" baseType="lpstr">
      <vt:lpstr>segments_minclussize_25</vt:lpstr>
      <vt:lpstr>segments_minclussize_100</vt:lpstr>
      <vt:lpstr>water_Family</vt:lpstr>
      <vt:lpstr>water_OTUs</vt:lpstr>
      <vt:lpstr>water_Phylum</vt:lpstr>
      <vt:lpstr>water_Class</vt:lpstr>
      <vt:lpstr>water_order</vt:lpstr>
      <vt:lpstr>whole_wild_and_rearing</vt:lpstr>
      <vt:lpstr>Whole_larva_Family</vt:lpstr>
      <vt:lpstr>whole_Class_pre</vt:lpstr>
      <vt:lpstr>Whole_larva_Class</vt:lpstr>
      <vt:lpstr>Whole_larva_Phylum</vt:lpstr>
      <vt:lpstr>water_Class!SQK_NBD114_96_barcode08_filterd.nanoclust_out_1</vt:lpstr>
      <vt:lpstr>water_Family!SQK_NBD114_96_barcode08_filterd.nanoclust_out_1</vt:lpstr>
      <vt:lpstr>water_OTUs!SQK_NBD114_96_barcode08_filterd.nanoclust_out_1</vt:lpstr>
      <vt:lpstr>water_Phylum!SQK_NBD114_96_barcode08_filterd.nanoclust_out_1</vt:lpstr>
      <vt:lpstr>water_Class!SQK_NBD114_96_barcode09_filterd.nanoclust_out_1</vt:lpstr>
      <vt:lpstr>water_Family!SQK_NBD114_96_barcode09_filterd.nanoclust_out_1</vt:lpstr>
      <vt:lpstr>water_OTUs!SQK_NBD114_96_barcode09_filterd.nanoclust_out_1</vt:lpstr>
      <vt:lpstr>water_Phylum!SQK_NBD114_96_barcode09_filterd.nanoclust_out_1</vt:lpstr>
      <vt:lpstr>water_Class!SQK_NBD114_96_barcode10_filterd.nanoclust_out_1</vt:lpstr>
      <vt:lpstr>water_Family!SQK_NBD114_96_barcode10_filterd.nanoclust_out_1</vt:lpstr>
      <vt:lpstr>water_OTUs!SQK_NBD114_96_barcode10_filterd.nanoclust_out_1</vt:lpstr>
      <vt:lpstr>water_Phylum!SQK_NBD114_96_barcode10_filterd.nanoclust_out_1</vt:lpstr>
      <vt:lpstr>water_Class!SQK_NBD114_96_barcode60_filterd.nanoclust_out_1</vt:lpstr>
      <vt:lpstr>water_Family!SQK_NBD114_96_barcode60_filterd.nanoclust_out_1</vt:lpstr>
      <vt:lpstr>water_OTUs!SQK_NBD114_96_barcode60_filterd.nanoclust_out_1</vt:lpstr>
      <vt:lpstr>water_Phylum!SQK_NBD114_96_barcode60_filterd.nanoclust_out_1</vt:lpstr>
      <vt:lpstr>water_Class!SQK_NBD114_96_barcode62_filterd.nanoclust_out_1</vt:lpstr>
      <vt:lpstr>water_Family!SQK_NBD114_96_barcode62_filterd.nanoclust_out_1</vt:lpstr>
      <vt:lpstr>water_OTUs!SQK_NBD114_96_barcode62_filterd.nanoclust_out_1</vt:lpstr>
      <vt:lpstr>water_Phylum!SQK_NBD114_96_barcode62_filterd.nanoclust_out_1</vt:lpstr>
      <vt:lpstr>water_Class!SQK_NBD114_96_barcode64_filterd.nanoclust_out_1</vt:lpstr>
      <vt:lpstr>water_Family!SQK_NBD114_96_barcode64_filterd.nanoclust_out_1</vt:lpstr>
      <vt:lpstr>water_OTUs!SQK_NBD114_96_barcode64_filterd.nanoclust_out_1</vt:lpstr>
      <vt:lpstr>water_Phylum!SQK_NBD114_96_barcode64_filterd.nanoclust_out_1</vt:lpstr>
      <vt:lpstr>segments_minclussize_100!SQK_NBD114_96_barcode73_filterd.nanoclust_out</vt:lpstr>
      <vt:lpstr>segments_minclussize_25!SQK_NBD114_96_barcode73_filterd.nanoclust_out_1</vt:lpstr>
      <vt:lpstr>segments_minclussize_25!SQK_NBD114_96_barcode74_filterd.nanoclust_out_1</vt:lpstr>
      <vt:lpstr>segments_minclussize_100!SQK_NBD114_96_barcode75_filterd.nanoclust_out</vt:lpstr>
      <vt:lpstr>segments_minclussize_25!SQK_NBD114_96_barcode75_filterd.nanoclust_out_1</vt:lpstr>
      <vt:lpstr>segments_minclussize_100!SQK_NBD114_96_barcode76_filterd.nanoclust_out</vt:lpstr>
      <vt:lpstr>segments_minclussize_25!SQK_NBD114_96_barcode76_filterd.nanoclust_out_1</vt:lpstr>
      <vt:lpstr>segments_minclussize_100!SQK_NBD114_96_barcode77_filterd.nanoclust_out</vt:lpstr>
      <vt:lpstr>segments_minclussize_25!SQK_NBD114_96_barcode77_filterd.nanoclust_out</vt:lpstr>
      <vt:lpstr>segments_minclussize_100!SQK_NBD114_96_barcode78_filterd.nanoclust_out</vt:lpstr>
      <vt:lpstr>segments_minclussize_25!SQK_NBD114_96_barcode78_filterd.nanoclust_out</vt:lpstr>
      <vt:lpstr>segments_minclussize_25!SQK_NBD114_96_barcode78_filterd.nanoclust_out_1</vt:lpstr>
      <vt:lpstr>segments_minclussize_100!SQK_NBD114_96_barcode79_filterd.nanoclust_out</vt:lpstr>
      <vt:lpstr>segments_minclussize_25!SQK_NBD114_96_barcode79_filterd.nanoclust_out</vt:lpstr>
      <vt:lpstr>segments_minclussize_100!SQK_NBD114_96_barcode81_filterd.nanoclust_out</vt:lpstr>
      <vt:lpstr>segments_minclussize_25!SQK_NBD114_96_barcode81_filterd.nanoclust_out</vt:lpstr>
      <vt:lpstr>segments_minclussize_100!SQK_NBD114_96_barcode82_filterd.nanoclust_out</vt:lpstr>
      <vt:lpstr>segments_minclussize_25!SQK_NBD114_96_barcode82_filterd.nanoclust_out</vt:lpstr>
      <vt:lpstr>segments_minclussize_100!SQK_NBD114_96_barcode83_filterd.nanoclust_out</vt:lpstr>
      <vt:lpstr>segments_minclussize_25!SQK_NBD114_96_barcode83_filterd.nanoclust_out</vt:lpstr>
      <vt:lpstr>segments_minclussize_100!SQK_NBD114_96_barcode84_filterd.nanoclust_out</vt:lpstr>
      <vt:lpstr>segments_minclussize_25!SQK_NBD114_96_barcode84_filterd.nanoclust_out</vt:lpstr>
      <vt:lpstr>segments_minclussize_25!SQK_NBD114_96_barcode88_filterd.nanoclust_out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中西　瑛太</dc:creator>
  <cp:keywords/>
  <dc:description/>
  <cp:lastModifiedBy>中西　瑛太</cp:lastModifiedBy>
  <cp:revision/>
  <dcterms:created xsi:type="dcterms:W3CDTF">2024-11-21T02:41:53Z</dcterms:created>
  <dcterms:modified xsi:type="dcterms:W3CDTF">2025-04-16T04:59:26Z</dcterms:modified>
  <cp:category/>
  <cp:contentStatus/>
</cp:coreProperties>
</file>